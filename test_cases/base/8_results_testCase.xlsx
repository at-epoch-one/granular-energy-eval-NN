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elena_ballesteros_uclm_es/Documents/Downloads/"/>
    </mc:Choice>
  </mc:AlternateContent>
  <xr:revisionPtr revIDLastSave="33" documentId="11_00E5A31411A9C5170A99C8FA4A2BC61771DBB675" xr6:coauthVersionLast="47" xr6:coauthVersionMax="47" xr10:uidLastSave="{DE0C3BA0-A560-4544-85B2-85D97E8D7B45}"/>
  <bookViews>
    <workbookView xWindow="19095" yWindow="0" windowWidth="19410" windowHeight="15585" activeTab="1" xr2:uid="{00000000-000D-0000-FFFF-FFFF00000000}"/>
  </bookViews>
  <sheets>
    <sheet name="DESCRIPTION" sheetId="1" r:id="rId1"/>
    <sheet name="TOTAL REPORT" sheetId="2" r:id="rId2"/>
    <sheet name="CODECARBON INFO" sheetId="3" r:id="rId3"/>
    <sheet name="UNITS DESCRIPTION" sheetId="4" r:id="rId4"/>
    <sheet name="PER LAYER REPORT DETAIL" sheetId="5" r:id="rId5"/>
    <sheet name="PER LAYER REPORT TOTAL" sheetId="6" r:id="rId6"/>
    <sheet name="PER EPOCH REPORT TOTAL" sheetId="7" r:id="rId7"/>
    <sheet name="TRAINING RESULTS" sheetId="8" r:id="rId8"/>
    <sheet name="training_data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F8" i="2"/>
  <c r="F9" i="2"/>
  <c r="F4" i="2"/>
  <c r="F5" i="2"/>
  <c r="F3" i="2"/>
  <c r="D8" i="2"/>
  <c r="D9" i="2"/>
  <c r="D7" i="2"/>
  <c r="D4" i="2"/>
  <c r="D5" i="2"/>
  <c r="D3" i="2"/>
</calcChain>
</file>

<file path=xl/sharedStrings.xml><?xml version="1.0" encoding="utf-8"?>
<sst xmlns="http://schemas.openxmlformats.org/spreadsheetml/2006/main" count="249" uniqueCount="82">
  <si>
    <t>DESCRIPTION</t>
  </si>
  <si>
    <t>Name</t>
  </si>
  <si>
    <t>Value</t>
  </si>
  <si>
    <t>project</t>
  </si>
  <si>
    <t>1_testing-MNIST</t>
  </si>
  <si>
    <t>testCase</t>
  </si>
  <si>
    <t>8_mnist-Soft-4</t>
  </si>
  <si>
    <t>date</t>
  </si>
  <si>
    <t>09/10/2025 11:33:23</t>
  </si>
  <si>
    <t>testcase description</t>
  </si>
  <si>
    <t>No description provided</t>
  </si>
  <si>
    <t>TOTAL REPORT</t>
  </si>
  <si>
    <t>duration</t>
  </si>
  <si>
    <t>emissions</t>
  </si>
  <si>
    <t>cpu_energy</t>
  </si>
  <si>
    <t>gpu_energy</t>
  </si>
  <si>
    <t>ram_energy</t>
  </si>
  <si>
    <t>energy_consumed</t>
  </si>
  <si>
    <t>emissions_rate</t>
  </si>
  <si>
    <t>CODECARBON INFO</t>
  </si>
  <si>
    <t>country_name</t>
  </si>
  <si>
    <t>Spain</t>
  </si>
  <si>
    <t>country_iso_code</t>
  </si>
  <si>
    <t>ESP</t>
  </si>
  <si>
    <t>region</t>
  </si>
  <si>
    <t>castille-la mancha</t>
  </si>
  <si>
    <t>cloud_provider</t>
  </si>
  <si>
    <t>cloud_region</t>
  </si>
  <si>
    <t>os</t>
  </si>
  <si>
    <t>Linux-6.8.0-85-generic-x86_64-with-glibc2.36</t>
  </si>
  <si>
    <t>python_version</t>
  </si>
  <si>
    <t>3.12.8</t>
  </si>
  <si>
    <t>codecarbon_version</t>
  </si>
  <si>
    <t>2.8.3</t>
  </si>
  <si>
    <t>cpu_count</t>
  </si>
  <si>
    <t>cpu_model</t>
  </si>
  <si>
    <t>12th Gen Intel(R) Core(TM) i7-12700F</t>
  </si>
  <si>
    <t>gpu_count</t>
  </si>
  <si>
    <t>gpu_model</t>
  </si>
  <si>
    <t>longitude</t>
  </si>
  <si>
    <t>latitude</t>
  </si>
  <si>
    <t>ram_total_size</t>
  </si>
  <si>
    <t>tracking_mode</t>
  </si>
  <si>
    <t>machine</t>
  </si>
  <si>
    <t>on_cloud</t>
  </si>
  <si>
    <t>N</t>
  </si>
  <si>
    <t>UNITS DESCRIPTION</t>
  </si>
  <si>
    <t>kg CO2eq</t>
  </si>
  <si>
    <t>s</t>
  </si>
  <si>
    <t>kWh</t>
  </si>
  <si>
    <t>kg/s</t>
  </si>
  <si>
    <t>PER LAYER REPORT DETAIL</t>
  </si>
  <si>
    <t>layer</t>
  </si>
  <si>
    <t>direction</t>
  </si>
  <si>
    <t>type</t>
  </si>
  <si>
    <t>num_passes</t>
  </si>
  <si>
    <t>epoch</t>
  </si>
  <si>
    <t>Convolutional-0</t>
  </si>
  <si>
    <t>backward</t>
  </si>
  <si>
    <t>train</t>
  </si>
  <si>
    <t>forward</t>
  </si>
  <si>
    <t>validation</t>
  </si>
  <si>
    <t>Convolutional-1</t>
  </si>
  <si>
    <t>Dense-2</t>
  </si>
  <si>
    <t>Dense-3</t>
  </si>
  <si>
    <t>PER LAYER REPORT TOTAL</t>
  </si>
  <si>
    <t>PER EPOCH REPORT TOTAL</t>
  </si>
  <si>
    <t>TRAINING RESULTS</t>
  </si>
  <si>
    <t>train_loss</t>
  </si>
  <si>
    <t>val_loss</t>
  </si>
  <si>
    <t>epochs</t>
  </si>
  <si>
    <t>train_accuracy</t>
  </si>
  <si>
    <t>train_f1</t>
  </si>
  <si>
    <t>train_precision</t>
  </si>
  <si>
    <t>train_recall</t>
  </si>
  <si>
    <t>val_accuracy</t>
  </si>
  <si>
    <t>val_f1</t>
  </si>
  <si>
    <t>val_precision</t>
  </si>
  <si>
    <t>val_recall</t>
  </si>
  <si>
    <t>training_data</t>
  </si>
  <si>
    <t>mejora 7</t>
  </si>
  <si>
    <t>mejora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</si>
</sst>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9E44"/>
        <bgColor rgb="FF2F9E4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E10" sqref="E10:F10"/>
    </sheetView>
  </sheetViews>
  <sheetFormatPr baseColWidth="10" defaultColWidth="9.140625" defaultRowHeight="15" x14ac:dyDescent="0.25"/>
  <cols>
    <col min="1" max="1" width="22" customWidth="1"/>
    <col min="2" max="2" width="25" customWidth="1"/>
  </cols>
  <sheetData>
    <row r="1" spans="1:2" ht="15.75" x14ac:dyDescent="0.25">
      <c r="A1" s="2" t="s">
        <v>0</v>
      </c>
      <c r="B1" s="3"/>
    </row>
    <row r="2" spans="1:2" x14ac:dyDescent="0.25">
      <c r="A2" s="1" t="s">
        <v>1</v>
      </c>
      <c r="B2" s="1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workbookViewId="0">
      <selection activeCell="B3" sqref="B3:B9"/>
    </sheetView>
  </sheetViews>
  <sheetFormatPr baseColWidth="10" defaultColWidth="9.140625" defaultRowHeight="15" x14ac:dyDescent="0.25"/>
  <cols>
    <col min="1" max="1" width="17" customWidth="1"/>
    <col min="2" max="2" width="23" customWidth="1"/>
    <col min="3" max="4" width="14.42578125" customWidth="1"/>
    <col min="5" max="5" width="24.42578125" customWidth="1"/>
    <col min="6" max="6" width="12.85546875" customWidth="1"/>
  </cols>
  <sheetData>
    <row r="1" spans="1:6" ht="15.75" x14ac:dyDescent="0.25">
      <c r="A1" s="2" t="s">
        <v>11</v>
      </c>
      <c r="B1" s="3"/>
    </row>
    <row r="2" spans="1:6" x14ac:dyDescent="0.25">
      <c r="A2" s="1" t="s">
        <v>1</v>
      </c>
      <c r="B2" s="1" t="s">
        <v>2</v>
      </c>
      <c r="C2">
        <v>7</v>
      </c>
      <c r="D2" t="s">
        <v>80</v>
      </c>
      <c r="E2">
        <v>13</v>
      </c>
      <c r="F2" t="s">
        <v>81</v>
      </c>
    </row>
    <row r="3" spans="1:6" x14ac:dyDescent="0.25">
      <c r="A3" t="s">
        <v>12</v>
      </c>
      <c r="B3">
        <v>15637.4515996425</v>
      </c>
      <c r="C3">
        <v>10623.78140419645</v>
      </c>
      <c r="D3">
        <f>C3/B3</f>
        <v>0.67938060984561766</v>
      </c>
      <c r="E3">
        <v>2268.6569605508698</v>
      </c>
      <c r="F3">
        <f>E3/B3</f>
        <v>0.14507843212782418</v>
      </c>
    </row>
    <row r="4" spans="1:6" x14ac:dyDescent="0.25">
      <c r="A4" t="s">
        <v>13</v>
      </c>
      <c r="B4">
        <v>6.7606119957317731E-2</v>
      </c>
      <c r="C4">
        <v>4.5876608963603203E-2</v>
      </c>
      <c r="D4">
        <f t="shared" ref="D4:D5" si="0">C4/B4</f>
        <v>0.67858662784621893</v>
      </c>
      <c r="E4">
        <v>9.7354093362183643E-3</v>
      </c>
      <c r="F4">
        <f t="shared" ref="F4:F9" si="1">E4/B4</f>
        <v>0.14400189424218832</v>
      </c>
    </row>
    <row r="5" spans="1:6" x14ac:dyDescent="0.25">
      <c r="A5" t="s">
        <v>14</v>
      </c>
      <c r="B5">
        <v>0.1844292879146068</v>
      </c>
      <c r="C5">
        <v>0.1252235856434093</v>
      </c>
      <c r="D5">
        <f t="shared" si="0"/>
        <v>0.67897884907189721</v>
      </c>
      <c r="E5">
        <v>2.667889443651527E-2</v>
      </c>
      <c r="F5">
        <f t="shared" si="1"/>
        <v>0.1446564953873701</v>
      </c>
    </row>
    <row r="6" spans="1:6" x14ac:dyDescent="0.25">
      <c r="A6" t="s">
        <v>15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16</v>
      </c>
      <c r="B7">
        <v>0.2040000137648928</v>
      </c>
      <c r="C7">
        <v>0.13835934433994079</v>
      </c>
      <c r="D7">
        <f>C7/B7</f>
        <v>0.67823203433406642</v>
      </c>
      <c r="E7">
        <v>2.925566078450284E-2</v>
      </c>
      <c r="F7">
        <f t="shared" si="1"/>
        <v>0.14341009220822692</v>
      </c>
    </row>
    <row r="8" spans="1:6" x14ac:dyDescent="0.25">
      <c r="A8" t="s">
        <v>17</v>
      </c>
      <c r="B8">
        <v>0.38842930167950429</v>
      </c>
      <c r="C8">
        <v>0.26358292998335647</v>
      </c>
      <c r="D8">
        <f t="shared" ref="D8:D9" si="2">C8/B8</f>
        <v>0.67858662784621893</v>
      </c>
      <c r="E8">
        <v>5.593455522101904E-2</v>
      </c>
      <c r="F8">
        <f t="shared" si="1"/>
        <v>0.14400189424218832</v>
      </c>
    </row>
    <row r="9" spans="1:6" x14ac:dyDescent="0.25">
      <c r="A9" t="s">
        <v>18</v>
      </c>
      <c r="B9">
        <v>4.3233463922512362E-6</v>
      </c>
      <c r="C9">
        <v>4.3182937617185638E-6</v>
      </c>
      <c r="D9">
        <f t="shared" si="2"/>
        <v>0.99883131489493227</v>
      </c>
      <c r="E9">
        <v>4.2912654956236464E-6</v>
      </c>
      <c r="F9">
        <f t="shared" si="1"/>
        <v>0.99257961455850763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/>
  </sheetViews>
  <sheetFormatPr baseColWidth="10" defaultColWidth="9.140625" defaultRowHeight="15" x14ac:dyDescent="0.25"/>
  <cols>
    <col min="1" max="1" width="20" customWidth="1"/>
    <col min="2" max="2" width="46" customWidth="1"/>
  </cols>
  <sheetData>
    <row r="1" spans="1:2" ht="15.75" x14ac:dyDescent="0.25">
      <c r="A1" s="2" t="s">
        <v>19</v>
      </c>
      <c r="B1" s="3"/>
    </row>
    <row r="2" spans="1:2" x14ac:dyDescent="0.25">
      <c r="A2" s="1" t="s">
        <v>1</v>
      </c>
      <c r="B2" s="1" t="s">
        <v>2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 t="s">
        <v>23</v>
      </c>
    </row>
    <row r="5" spans="1:2" x14ac:dyDescent="0.25">
      <c r="A5" t="s">
        <v>24</v>
      </c>
      <c r="B5" t="s">
        <v>25</v>
      </c>
    </row>
    <row r="6" spans="1:2" x14ac:dyDescent="0.25">
      <c r="A6" t="s">
        <v>26</v>
      </c>
    </row>
    <row r="7" spans="1:2" x14ac:dyDescent="0.25">
      <c r="A7" t="s">
        <v>27</v>
      </c>
    </row>
    <row r="8" spans="1:2" x14ac:dyDescent="0.25">
      <c r="A8" t="s">
        <v>28</v>
      </c>
      <c r="B8" t="s">
        <v>29</v>
      </c>
    </row>
    <row r="9" spans="1:2" x14ac:dyDescent="0.25">
      <c r="A9" t="s">
        <v>30</v>
      </c>
      <c r="B9" t="s">
        <v>31</v>
      </c>
    </row>
    <row r="10" spans="1:2" x14ac:dyDescent="0.25">
      <c r="A10" t="s">
        <v>32</v>
      </c>
      <c r="B10" t="s">
        <v>33</v>
      </c>
    </row>
    <row r="11" spans="1:2" x14ac:dyDescent="0.25">
      <c r="A11" t="s">
        <v>34</v>
      </c>
      <c r="B11">
        <v>20</v>
      </c>
    </row>
    <row r="12" spans="1:2" x14ac:dyDescent="0.25">
      <c r="A12" t="s">
        <v>35</v>
      </c>
      <c r="B12" t="s">
        <v>36</v>
      </c>
    </row>
    <row r="13" spans="1:2" x14ac:dyDescent="0.25">
      <c r="A13" t="s">
        <v>37</v>
      </c>
    </row>
    <row r="14" spans="1:2" x14ac:dyDescent="0.25">
      <c r="A14" t="s">
        <v>38</v>
      </c>
    </row>
    <row r="15" spans="1:2" x14ac:dyDescent="0.25">
      <c r="A15" t="s">
        <v>39</v>
      </c>
      <c r="B15">
        <v>-3.9304000000000001</v>
      </c>
    </row>
    <row r="16" spans="1:2" x14ac:dyDescent="0.25">
      <c r="A16" t="s">
        <v>40</v>
      </c>
      <c r="B16">
        <v>38.986199999999997</v>
      </c>
    </row>
    <row r="17" spans="1:2" x14ac:dyDescent="0.25">
      <c r="A17" t="s">
        <v>41</v>
      </c>
      <c r="B17">
        <v>125.6411590576172</v>
      </c>
    </row>
    <row r="18" spans="1:2" x14ac:dyDescent="0.25">
      <c r="A18" t="s">
        <v>42</v>
      </c>
      <c r="B18" t="s">
        <v>43</v>
      </c>
    </row>
    <row r="19" spans="1:2" x14ac:dyDescent="0.25">
      <c r="A19" t="s">
        <v>44</v>
      </c>
      <c r="B19" t="s">
        <v>45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baseColWidth="10" defaultColWidth="9.140625" defaultRowHeight="15" x14ac:dyDescent="0.25"/>
  <cols>
    <col min="1" max="1" width="17" customWidth="1"/>
    <col min="2" max="2" width="10" customWidth="1"/>
  </cols>
  <sheetData>
    <row r="1" spans="1:2" ht="15.75" x14ac:dyDescent="0.25">
      <c r="A1" s="2" t="s">
        <v>46</v>
      </c>
      <c r="B1" s="3"/>
    </row>
    <row r="2" spans="1:2" x14ac:dyDescent="0.25">
      <c r="A2" s="1" t="s">
        <v>1</v>
      </c>
      <c r="B2" s="1" t="s">
        <v>2</v>
      </c>
    </row>
    <row r="3" spans="1:2" x14ac:dyDescent="0.25">
      <c r="A3" t="s">
        <v>13</v>
      </c>
      <c r="B3" t="s">
        <v>47</v>
      </c>
    </row>
    <row r="4" spans="1:2" x14ac:dyDescent="0.25">
      <c r="A4" t="s">
        <v>12</v>
      </c>
      <c r="B4" t="s">
        <v>48</v>
      </c>
    </row>
    <row r="5" spans="1:2" x14ac:dyDescent="0.25">
      <c r="A5" t="s">
        <v>14</v>
      </c>
      <c r="B5" t="s">
        <v>49</v>
      </c>
    </row>
    <row r="6" spans="1:2" x14ac:dyDescent="0.25">
      <c r="A6" t="s">
        <v>15</v>
      </c>
      <c r="B6" t="s">
        <v>49</v>
      </c>
    </row>
    <row r="7" spans="1:2" x14ac:dyDescent="0.25">
      <c r="A7" t="s">
        <v>16</v>
      </c>
      <c r="B7" t="s">
        <v>49</v>
      </c>
    </row>
    <row r="8" spans="1:2" x14ac:dyDescent="0.25">
      <c r="A8" t="s">
        <v>17</v>
      </c>
      <c r="B8" t="s">
        <v>49</v>
      </c>
    </row>
    <row r="9" spans="1:2" x14ac:dyDescent="0.25">
      <c r="A9" t="s">
        <v>18</v>
      </c>
      <c r="B9" t="s">
        <v>50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workbookViewId="0">
      <selection sqref="A1:L1"/>
    </sheetView>
  </sheetViews>
  <sheetFormatPr baseColWidth="10" defaultColWidth="9.140625" defaultRowHeight="15" x14ac:dyDescent="0.25"/>
  <cols>
    <col min="1" max="1" width="17" customWidth="1"/>
    <col min="2" max="2" width="11" customWidth="1"/>
    <col min="3" max="3" width="12" customWidth="1"/>
    <col min="4" max="4" width="20" customWidth="1"/>
    <col min="5" max="6" width="24" customWidth="1"/>
    <col min="7" max="7" width="12" customWidth="1"/>
    <col min="8" max="9" width="24" customWidth="1"/>
    <col min="10" max="10" width="12" customWidth="1"/>
    <col min="11" max="11" width="10" customWidth="1"/>
    <col min="12" max="12" width="24" customWidth="1"/>
  </cols>
  <sheetData>
    <row r="1" spans="1:12" ht="15.75" x14ac:dyDescent="0.25">
      <c r="A1" s="2" t="s">
        <v>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1" t="s">
        <v>52</v>
      </c>
      <c r="B2" s="1" t="s">
        <v>53</v>
      </c>
      <c r="C2" s="1" t="s">
        <v>54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55</v>
      </c>
      <c r="K2" s="1" t="s">
        <v>56</v>
      </c>
      <c r="L2" s="1" t="s">
        <v>18</v>
      </c>
    </row>
    <row r="3" spans="1:12" x14ac:dyDescent="0.25">
      <c r="A3" t="s">
        <v>57</v>
      </c>
      <c r="B3" t="s">
        <v>58</v>
      </c>
      <c r="C3" t="s">
        <v>59</v>
      </c>
      <c r="D3">
        <v>1467.5440836341311</v>
      </c>
      <c r="E3">
        <v>6.3378380537861354E-3</v>
      </c>
      <c r="F3">
        <v>1.7294764873285771E-2</v>
      </c>
      <c r="G3">
        <v>0</v>
      </c>
      <c r="H3">
        <v>1.9119127995355371E-2</v>
      </c>
      <c r="I3">
        <v>3.6413892868637388E-2</v>
      </c>
      <c r="J3">
        <v>19700</v>
      </c>
      <c r="K3">
        <v>20</v>
      </c>
      <c r="L3">
        <v>4.3186696225789156E-6</v>
      </c>
    </row>
    <row r="4" spans="1:12" x14ac:dyDescent="0.25">
      <c r="A4" t="s">
        <v>57</v>
      </c>
      <c r="B4" t="s">
        <v>60</v>
      </c>
      <c r="C4" t="s">
        <v>59</v>
      </c>
      <c r="D4">
        <v>140.60239119374091</v>
      </c>
      <c r="E4">
        <v>6.0499505291630783E-4</v>
      </c>
      <c r="F4">
        <v>1.6724438479222071E-3</v>
      </c>
      <c r="G4">
        <v>0</v>
      </c>
      <c r="H4">
        <v>1.8035403687789509E-3</v>
      </c>
      <c r="I4">
        <v>3.4759842166982992E-3</v>
      </c>
      <c r="J4">
        <v>19700</v>
      </c>
      <c r="K4">
        <v>20</v>
      </c>
      <c r="L4">
        <v>4.3028788328547276E-6</v>
      </c>
    </row>
    <row r="5" spans="1:12" x14ac:dyDescent="0.25">
      <c r="A5" t="s">
        <v>57</v>
      </c>
      <c r="B5" t="s">
        <v>60</v>
      </c>
      <c r="C5" t="s">
        <v>61</v>
      </c>
      <c r="D5">
        <v>17.092380258973211</v>
      </c>
      <c r="E5">
        <v>7.4847411949669103E-5</v>
      </c>
      <c r="F5">
        <v>2.063714511006641E-4</v>
      </c>
      <c r="G5">
        <v>0</v>
      </c>
      <c r="H5">
        <v>2.2366251586121091E-4</v>
      </c>
      <c r="I5">
        <v>4.3003396696243349E-4</v>
      </c>
      <c r="J5">
        <v>2200</v>
      </c>
      <c r="K5">
        <v>20</v>
      </c>
      <c r="L5">
        <v>4.3789929088650756E-6</v>
      </c>
    </row>
    <row r="6" spans="1:12" x14ac:dyDescent="0.25">
      <c r="A6" t="s">
        <v>62</v>
      </c>
      <c r="B6" t="s">
        <v>58</v>
      </c>
      <c r="C6" t="s">
        <v>59</v>
      </c>
      <c r="D6">
        <v>8274.1281707029666</v>
      </c>
      <c r="E6">
        <v>3.5840636366050421E-2</v>
      </c>
      <c r="F6">
        <v>9.7685497372814151E-2</v>
      </c>
      <c r="G6">
        <v>0</v>
      </c>
      <c r="H6">
        <v>0.108235998553935</v>
      </c>
      <c r="I6">
        <v>0.20592149592674891</v>
      </c>
      <c r="J6">
        <v>19700</v>
      </c>
      <c r="K6">
        <v>20</v>
      </c>
      <c r="L6">
        <v>4.3316510968436474E-6</v>
      </c>
    </row>
    <row r="7" spans="1:12" x14ac:dyDescent="0.25">
      <c r="A7" t="s">
        <v>62</v>
      </c>
      <c r="B7" t="s">
        <v>60</v>
      </c>
      <c r="C7" t="s">
        <v>59</v>
      </c>
      <c r="D7">
        <v>2632.2653731078012</v>
      </c>
      <c r="E7">
        <v>1.1358683721949011E-2</v>
      </c>
      <c r="F7">
        <v>3.0980122020724771E-2</v>
      </c>
      <c r="G7">
        <v>0</v>
      </c>
      <c r="H7">
        <v>3.4280916312786403E-2</v>
      </c>
      <c r="I7">
        <v>6.5261038333515209E-2</v>
      </c>
      <c r="J7">
        <v>19700</v>
      </c>
      <c r="K7">
        <v>20</v>
      </c>
      <c r="L7">
        <v>4.3151742366075767E-6</v>
      </c>
    </row>
    <row r="8" spans="1:12" x14ac:dyDescent="0.25">
      <c r="A8" t="s">
        <v>62</v>
      </c>
      <c r="B8" t="s">
        <v>60</v>
      </c>
      <c r="C8" t="s">
        <v>61</v>
      </c>
      <c r="D8">
        <v>260.98796914906598</v>
      </c>
      <c r="E8">
        <v>1.127651935737964E-3</v>
      </c>
      <c r="F8">
        <v>3.0760108780205461E-3</v>
      </c>
      <c r="G8">
        <v>0</v>
      </c>
      <c r="H8">
        <v>3.402885621478783E-3</v>
      </c>
      <c r="I8">
        <v>6.4788964994999844E-3</v>
      </c>
      <c r="J8">
        <v>2200</v>
      </c>
      <c r="K8">
        <v>20</v>
      </c>
      <c r="L8">
        <v>4.3207046647192156E-6</v>
      </c>
    </row>
    <row r="9" spans="1:12" x14ac:dyDescent="0.25">
      <c r="A9" t="s">
        <v>63</v>
      </c>
      <c r="B9" t="s">
        <v>58</v>
      </c>
      <c r="C9" t="s">
        <v>59</v>
      </c>
      <c r="D9">
        <v>2340.415349237906</v>
      </c>
      <c r="E9">
        <v>1.0119008335749991E-2</v>
      </c>
      <c r="F9">
        <v>2.7601024533664049E-2</v>
      </c>
      <c r="G9">
        <v>0</v>
      </c>
      <c r="H9">
        <v>3.0537489317239701E-2</v>
      </c>
      <c r="I9">
        <v>5.8138513850905849E-2</v>
      </c>
      <c r="J9">
        <v>19700</v>
      </c>
      <c r="K9">
        <v>20</v>
      </c>
      <c r="L9">
        <v>4.3235950999231733E-6</v>
      </c>
    </row>
    <row r="10" spans="1:12" x14ac:dyDescent="0.25">
      <c r="A10" t="s">
        <v>63</v>
      </c>
      <c r="B10" t="s">
        <v>60</v>
      </c>
      <c r="C10" t="s">
        <v>59</v>
      </c>
      <c r="D10">
        <v>386.88042609492368</v>
      </c>
      <c r="E10">
        <v>1.6464186913954209E-3</v>
      </c>
      <c r="F10">
        <v>4.5152440571368203E-3</v>
      </c>
      <c r="G10">
        <v>0</v>
      </c>
      <c r="H10">
        <v>4.9442140950933123E-3</v>
      </c>
      <c r="I10">
        <v>9.4594581522310164E-3</v>
      </c>
      <c r="J10">
        <v>19700</v>
      </c>
      <c r="K10">
        <v>20</v>
      </c>
      <c r="L10">
        <v>4.25562675272556E-6</v>
      </c>
    </row>
    <row r="11" spans="1:12" x14ac:dyDescent="0.25">
      <c r="A11" t="s">
        <v>63</v>
      </c>
      <c r="B11" t="s">
        <v>60</v>
      </c>
      <c r="C11" t="s">
        <v>61</v>
      </c>
      <c r="D11">
        <v>40.680782372997783</v>
      </c>
      <c r="E11">
        <v>1.733280817378885E-4</v>
      </c>
      <c r="F11">
        <v>4.7548852535618177E-4</v>
      </c>
      <c r="G11">
        <v>0</v>
      </c>
      <c r="H11">
        <v>5.2036371100175685E-4</v>
      </c>
      <c r="I11">
        <v>9.9585223635744596E-4</v>
      </c>
      <c r="J11">
        <v>2200</v>
      </c>
      <c r="K11">
        <v>20</v>
      </c>
      <c r="L11">
        <v>4.2606870278123404E-6</v>
      </c>
    </row>
    <row r="12" spans="1:12" x14ac:dyDescent="0.25">
      <c r="A12" t="s">
        <v>64</v>
      </c>
      <c r="B12" t="s">
        <v>58</v>
      </c>
      <c r="C12" t="s">
        <v>59</v>
      </c>
      <c r="D12">
        <v>36.040425983066598</v>
      </c>
      <c r="E12">
        <v>1.5562128807943221E-4</v>
      </c>
      <c r="F12">
        <v>4.4300781088110042E-4</v>
      </c>
      <c r="G12">
        <v>0</v>
      </c>
      <c r="H12">
        <v>4.5111047742269942E-4</v>
      </c>
      <c r="I12">
        <v>8.9411828830218167E-4</v>
      </c>
      <c r="J12">
        <v>19700</v>
      </c>
      <c r="K12">
        <v>20</v>
      </c>
      <c r="L12">
        <v>4.3179647252934798E-6</v>
      </c>
    </row>
    <row r="13" spans="1:12" x14ac:dyDescent="0.25">
      <c r="A13" t="s">
        <v>64</v>
      </c>
      <c r="B13" t="s">
        <v>60</v>
      </c>
      <c r="C13" t="s">
        <v>59</v>
      </c>
      <c r="D13">
        <v>36.717063843912911</v>
      </c>
      <c r="E13">
        <v>1.5024573983251651E-4</v>
      </c>
      <c r="F13">
        <v>4.3099443275857499E-4</v>
      </c>
      <c r="G13">
        <v>0</v>
      </c>
      <c r="H13">
        <v>4.3223877512254307E-4</v>
      </c>
      <c r="I13">
        <v>8.6323320788626661E-4</v>
      </c>
      <c r="J13">
        <v>19700</v>
      </c>
      <c r="K13">
        <v>20</v>
      </c>
      <c r="L13">
        <v>4.0919867795317948E-6</v>
      </c>
    </row>
    <row r="14" spans="1:12" x14ac:dyDescent="0.25">
      <c r="A14" t="s">
        <v>64</v>
      </c>
      <c r="B14" t="s">
        <v>60</v>
      </c>
      <c r="C14" t="s">
        <v>61</v>
      </c>
      <c r="D14">
        <v>4.0971840630154466</v>
      </c>
      <c r="E14">
        <v>1.6845278132970789E-5</v>
      </c>
      <c r="F14">
        <v>4.8318110941992017E-5</v>
      </c>
      <c r="G14">
        <v>0</v>
      </c>
      <c r="H14">
        <v>4.8466020817150568E-5</v>
      </c>
      <c r="I14">
        <v>9.6784131759366371E-5</v>
      </c>
      <c r="J14">
        <v>2200</v>
      </c>
      <c r="K14">
        <v>20</v>
      </c>
      <c r="L14">
        <v>4.1114282087129357E-6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>
      <selection activeCell="D4" sqref="D4"/>
    </sheetView>
  </sheetViews>
  <sheetFormatPr baseColWidth="10" defaultColWidth="9.140625" defaultRowHeight="15" x14ac:dyDescent="0.25"/>
  <cols>
    <col min="1" max="1" width="17" customWidth="1"/>
    <col min="2" max="2" width="20" customWidth="1"/>
    <col min="3" max="3" width="24" customWidth="1"/>
    <col min="4" max="4" width="23" customWidth="1"/>
    <col min="5" max="5" width="12" customWidth="1"/>
    <col min="6" max="7" width="23" customWidth="1"/>
    <col min="8" max="8" width="12" customWidth="1"/>
    <col min="9" max="9" width="10" customWidth="1"/>
    <col min="10" max="10" width="24" customWidth="1"/>
  </cols>
  <sheetData>
    <row r="1" spans="1:10" ht="15.75" x14ac:dyDescent="0.25">
      <c r="A1" s="2" t="s">
        <v>65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1" t="s">
        <v>52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55</v>
      </c>
      <c r="I2" s="1" t="s">
        <v>56</v>
      </c>
      <c r="J2" s="1" t="s">
        <v>18</v>
      </c>
    </row>
    <row r="3" spans="1:10" x14ac:dyDescent="0.25">
      <c r="A3" t="s">
        <v>57</v>
      </c>
      <c r="B3">
        <v>1625.238855086845</v>
      </c>
      <c r="C3">
        <v>7.0176805186521127E-3</v>
      </c>
      <c r="D3">
        <v>1.9173580172308639E-2</v>
      </c>
      <c r="E3">
        <v>0</v>
      </c>
      <c r="F3">
        <v>2.1146330879995529E-2</v>
      </c>
      <c r="G3">
        <v>4.0319911052298117E-2</v>
      </c>
      <c r="H3">
        <v>41600</v>
      </c>
      <c r="I3">
        <v>20</v>
      </c>
      <c r="J3">
        <v>4.3179379428983187E-6</v>
      </c>
    </row>
    <row r="4" spans="1:10" x14ac:dyDescent="0.25">
      <c r="A4" t="s">
        <v>62</v>
      </c>
      <c r="B4">
        <v>11167.38151295983</v>
      </c>
      <c r="C4">
        <v>4.8326972023737397E-2</v>
      </c>
      <c r="D4">
        <v>0.1317416302715595</v>
      </c>
      <c r="E4">
        <v>0</v>
      </c>
      <c r="F4">
        <v>0.14591980048820019</v>
      </c>
      <c r="G4">
        <v>0.27766143075976413</v>
      </c>
      <c r="H4">
        <v>41600</v>
      </c>
      <c r="I4">
        <v>20</v>
      </c>
      <c r="J4">
        <v>4.3275115090904324E-6</v>
      </c>
    </row>
    <row r="5" spans="1:10" x14ac:dyDescent="0.25">
      <c r="A5" t="s">
        <v>63</v>
      </c>
      <c r="B5">
        <v>2767.9765577058279</v>
      </c>
      <c r="C5">
        <v>1.19387551088833E-2</v>
      </c>
      <c r="D5">
        <v>3.2591757116157048E-2</v>
      </c>
      <c r="E5">
        <v>0</v>
      </c>
      <c r="F5">
        <v>3.6002067123334758E-2</v>
      </c>
      <c r="G5">
        <v>6.8593824239494311E-2</v>
      </c>
      <c r="H5">
        <v>41600</v>
      </c>
      <c r="I5">
        <v>20</v>
      </c>
      <c r="J5">
        <v>4.3131705995293763E-6</v>
      </c>
    </row>
    <row r="6" spans="1:10" x14ac:dyDescent="0.25">
      <c r="A6" t="s">
        <v>64</v>
      </c>
      <c r="B6">
        <v>76.854673889994956</v>
      </c>
      <c r="C6">
        <v>3.2271230604491951E-4</v>
      </c>
      <c r="D6">
        <v>9.2232035458166743E-4</v>
      </c>
      <c r="E6">
        <v>0</v>
      </c>
      <c r="F6">
        <v>9.3181527336239317E-4</v>
      </c>
      <c r="G6">
        <v>1.8541356279478151E-3</v>
      </c>
      <c r="H6">
        <v>41600</v>
      </c>
      <c r="I6">
        <v>20</v>
      </c>
      <c r="J6">
        <v>4.1989938895171163E-6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2"/>
  <sheetViews>
    <sheetView workbookViewId="0">
      <selection sqref="A1:J1"/>
    </sheetView>
  </sheetViews>
  <sheetFormatPr baseColWidth="10" defaultColWidth="9.140625" defaultRowHeight="15" x14ac:dyDescent="0.25"/>
  <cols>
    <col min="1" max="1" width="17" customWidth="1"/>
    <col min="2" max="2" width="20" customWidth="1"/>
    <col min="3" max="4" width="24" customWidth="1"/>
    <col min="5" max="5" width="12" customWidth="1"/>
    <col min="6" max="6" width="24" customWidth="1"/>
    <col min="7" max="7" width="23" customWidth="1"/>
    <col min="8" max="8" width="12" customWidth="1"/>
    <col min="9" max="9" width="10" customWidth="1"/>
    <col min="10" max="10" width="24" customWidth="1"/>
  </cols>
  <sheetData>
    <row r="1" spans="1:10" ht="15.75" x14ac:dyDescent="0.25">
      <c r="A1" s="2" t="s">
        <v>66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1" t="s">
        <v>52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55</v>
      </c>
      <c r="I2" s="1" t="s">
        <v>56</v>
      </c>
      <c r="J2" s="1" t="s">
        <v>18</v>
      </c>
    </row>
    <row r="3" spans="1:10" x14ac:dyDescent="0.25">
      <c r="A3" t="s">
        <v>57</v>
      </c>
      <c r="B3">
        <v>81.679081946973383</v>
      </c>
      <c r="C3">
        <v>3.5279095494844819E-4</v>
      </c>
      <c r="D3">
        <v>9.6388853721881629E-4</v>
      </c>
      <c r="E3">
        <v>0</v>
      </c>
      <c r="F3">
        <v>1.0630632292187401E-3</v>
      </c>
      <c r="G3">
        <v>2.0269517664374512E-3</v>
      </c>
      <c r="H3">
        <v>2080</v>
      </c>
      <c r="I3">
        <v>1</v>
      </c>
      <c r="J3">
        <v>4.319232617936163E-6</v>
      </c>
    </row>
    <row r="4" spans="1:10" x14ac:dyDescent="0.25">
      <c r="A4" t="s">
        <v>57</v>
      </c>
      <c r="B4">
        <v>81.52833611893584</v>
      </c>
      <c r="C4">
        <v>3.5196277292910222E-4</v>
      </c>
      <c r="D4">
        <v>9.6161460734941681E-4</v>
      </c>
      <c r="E4">
        <v>0</v>
      </c>
      <c r="F4">
        <v>1.060578859637682E-3</v>
      </c>
      <c r="G4">
        <v>2.0221934669871042E-3</v>
      </c>
      <c r="H4">
        <v>2080</v>
      </c>
      <c r="I4">
        <v>2</v>
      </c>
      <c r="J4">
        <v>4.3170606648423304E-6</v>
      </c>
    </row>
    <row r="5" spans="1:10" x14ac:dyDescent="0.25">
      <c r="A5" t="s">
        <v>57</v>
      </c>
      <c r="B5">
        <v>81.223778839959778</v>
      </c>
      <c r="C5">
        <v>3.5061708565805802E-4</v>
      </c>
      <c r="D5">
        <v>9.579486777548038E-4</v>
      </c>
      <c r="E5">
        <v>0</v>
      </c>
      <c r="F5">
        <v>1.0565131760692059E-3</v>
      </c>
      <c r="G5">
        <v>2.014461853823916E-3</v>
      </c>
      <c r="H5">
        <v>2080</v>
      </c>
      <c r="I5">
        <v>3</v>
      </c>
      <c r="J5">
        <v>4.3166802956668698E-6</v>
      </c>
    </row>
    <row r="6" spans="1:10" x14ac:dyDescent="0.25">
      <c r="A6" t="s">
        <v>57</v>
      </c>
      <c r="B6">
        <v>80.916959135980505</v>
      </c>
      <c r="C6">
        <v>3.4932368597381282E-4</v>
      </c>
      <c r="D6">
        <v>9.5441370945385795E-4</v>
      </c>
      <c r="E6">
        <v>0</v>
      </c>
      <c r="F6">
        <v>1.052616948252476E-3</v>
      </c>
      <c r="G6">
        <v>2.0070306577063481E-3</v>
      </c>
      <c r="H6">
        <v>2080</v>
      </c>
      <c r="I6">
        <v>4</v>
      </c>
      <c r="J6">
        <v>4.3170639344809813E-6</v>
      </c>
    </row>
    <row r="7" spans="1:10" x14ac:dyDescent="0.25">
      <c r="A7" t="s">
        <v>57</v>
      </c>
      <c r="B7">
        <v>81.374199108000539</v>
      </c>
      <c r="C7">
        <v>3.5126501118546571E-4</v>
      </c>
      <c r="D7">
        <v>9.5970647913669327E-4</v>
      </c>
      <c r="E7">
        <v>0</v>
      </c>
      <c r="F7">
        <v>1.0584780148907779E-3</v>
      </c>
      <c r="G7">
        <v>2.0181844940273109E-3</v>
      </c>
      <c r="H7">
        <v>2080</v>
      </c>
      <c r="I7">
        <v>5</v>
      </c>
      <c r="J7">
        <v>4.3166632057326148E-6</v>
      </c>
    </row>
    <row r="8" spans="1:10" x14ac:dyDescent="0.25">
      <c r="A8" t="s">
        <v>57</v>
      </c>
      <c r="B8">
        <v>80.929190110016862</v>
      </c>
      <c r="C8">
        <v>3.4931106927813682E-4</v>
      </c>
      <c r="D8">
        <v>9.5438116961141933E-4</v>
      </c>
      <c r="E8">
        <v>0</v>
      </c>
      <c r="F8">
        <v>1.052576999180356E-3</v>
      </c>
      <c r="G8">
        <v>2.0069581687915672E-3</v>
      </c>
      <c r="H8">
        <v>2080</v>
      </c>
      <c r="I8">
        <v>6</v>
      </c>
      <c r="J8">
        <v>4.3162555908847714E-6</v>
      </c>
    </row>
    <row r="9" spans="1:10" x14ac:dyDescent="0.25">
      <c r="A9" t="s">
        <v>57</v>
      </c>
      <c r="B9">
        <v>81.624209145942586</v>
      </c>
      <c r="C9">
        <v>3.5150629639729702E-4</v>
      </c>
      <c r="D9">
        <v>9.6036823304758434E-4</v>
      </c>
      <c r="E9">
        <v>0</v>
      </c>
      <c r="F9">
        <v>1.0592025592383041E-3</v>
      </c>
      <c r="G9">
        <v>2.0195707922859301E-3</v>
      </c>
      <c r="H9">
        <v>2080</v>
      </c>
      <c r="I9">
        <v>7</v>
      </c>
      <c r="J9">
        <v>4.3063975758565724E-6</v>
      </c>
    </row>
    <row r="10" spans="1:10" x14ac:dyDescent="0.25">
      <c r="A10" t="s">
        <v>57</v>
      </c>
      <c r="B10">
        <v>81.195006221920266</v>
      </c>
      <c r="C10">
        <v>3.5045487488651739E-4</v>
      </c>
      <c r="D10">
        <v>9.5750959304113925E-4</v>
      </c>
      <c r="E10">
        <v>0</v>
      </c>
      <c r="F10">
        <v>1.05602028277893E-3</v>
      </c>
      <c r="G10">
        <v>2.0135298758202358E-3</v>
      </c>
      <c r="H10">
        <v>2080</v>
      </c>
      <c r="I10">
        <v>8</v>
      </c>
      <c r="J10">
        <v>4.3162121809395823E-6</v>
      </c>
    </row>
    <row r="11" spans="1:10" x14ac:dyDescent="0.25">
      <c r="A11" t="s">
        <v>57</v>
      </c>
      <c r="B11">
        <v>81.236364148990106</v>
      </c>
      <c r="C11">
        <v>3.516177200573907E-4</v>
      </c>
      <c r="D11">
        <v>9.6067172512274979E-4</v>
      </c>
      <c r="E11">
        <v>0</v>
      </c>
      <c r="F11">
        <v>1.0595392490656409E-3</v>
      </c>
      <c r="G11">
        <v>2.020210974188114E-3</v>
      </c>
      <c r="H11">
        <v>2080</v>
      </c>
      <c r="I11">
        <v>9</v>
      </c>
      <c r="J11">
        <v>4.3283291139484344E-6</v>
      </c>
    </row>
    <row r="12" spans="1:10" x14ac:dyDescent="0.25">
      <c r="A12" t="s">
        <v>57</v>
      </c>
      <c r="B12">
        <v>81.537404857914225</v>
      </c>
      <c r="C12">
        <v>3.5189741223137783E-4</v>
      </c>
      <c r="D12">
        <v>9.6144710933696031E-4</v>
      </c>
      <c r="E12">
        <v>0</v>
      </c>
      <c r="F12">
        <v>1.060370829368162E-3</v>
      </c>
      <c r="G12">
        <v>2.0218179387034851E-3</v>
      </c>
      <c r="H12">
        <v>2080</v>
      </c>
      <c r="I12">
        <v>10</v>
      </c>
      <c r="J12">
        <v>4.315778909625449E-6</v>
      </c>
    </row>
    <row r="13" spans="1:10" x14ac:dyDescent="0.25">
      <c r="A13" t="s">
        <v>57</v>
      </c>
      <c r="B13">
        <v>81.243183959006274</v>
      </c>
      <c r="C13">
        <v>3.5072268397948891E-4</v>
      </c>
      <c r="D13">
        <v>9.5823158543634213E-4</v>
      </c>
      <c r="E13">
        <v>0</v>
      </c>
      <c r="F13">
        <v>1.056836980949327E-3</v>
      </c>
      <c r="G13">
        <v>2.0150685663857248E-3</v>
      </c>
      <c r="H13">
        <v>2080</v>
      </c>
      <c r="I13">
        <v>11</v>
      </c>
      <c r="J13">
        <v>4.3169490274588041E-6</v>
      </c>
    </row>
    <row r="14" spans="1:10" x14ac:dyDescent="0.25">
      <c r="A14" t="s">
        <v>57</v>
      </c>
      <c r="B14">
        <v>81.272541044938407</v>
      </c>
      <c r="C14">
        <v>3.5086739095002711E-4</v>
      </c>
      <c r="D14">
        <v>9.5863367262551125E-4</v>
      </c>
      <c r="E14">
        <v>0</v>
      </c>
      <c r="F14">
        <v>1.057266304106338E-3</v>
      </c>
      <c r="G14">
        <v>2.0158999767310448E-3</v>
      </c>
      <c r="H14">
        <v>2080</v>
      </c>
      <c r="I14">
        <v>12</v>
      </c>
      <c r="J14">
        <v>4.3171701836665877E-6</v>
      </c>
    </row>
    <row r="15" spans="1:10" x14ac:dyDescent="0.25">
      <c r="A15" t="s">
        <v>57</v>
      </c>
      <c r="B15">
        <v>81.004052667056385</v>
      </c>
      <c r="C15">
        <v>3.4970729766389819E-4</v>
      </c>
      <c r="D15">
        <v>9.5547209079080431E-4</v>
      </c>
      <c r="E15">
        <v>0</v>
      </c>
      <c r="F15">
        <v>1.0537625984584631E-3</v>
      </c>
      <c r="G15">
        <v>2.0092346892491291E-3</v>
      </c>
      <c r="H15">
        <v>2080</v>
      </c>
      <c r="I15">
        <v>13</v>
      </c>
      <c r="J15">
        <v>4.3171580451816209E-6</v>
      </c>
    </row>
    <row r="16" spans="1:10" x14ac:dyDescent="0.25">
      <c r="A16" t="s">
        <v>57</v>
      </c>
      <c r="B16">
        <v>81.189511296041019</v>
      </c>
      <c r="C16">
        <v>3.505140344757865E-4</v>
      </c>
      <c r="D16">
        <v>9.5767405376809278E-4</v>
      </c>
      <c r="E16">
        <v>0</v>
      </c>
      <c r="F16">
        <v>1.0561957220196481E-3</v>
      </c>
      <c r="G16">
        <v>2.0138697757878798E-3</v>
      </c>
      <c r="H16">
        <v>2080</v>
      </c>
      <c r="I16">
        <v>14</v>
      </c>
      <c r="J16">
        <v>4.3172329637224744E-6</v>
      </c>
    </row>
    <row r="17" spans="1:10" x14ac:dyDescent="0.25">
      <c r="A17" t="s">
        <v>57</v>
      </c>
      <c r="B17">
        <v>81.053302986983908</v>
      </c>
      <c r="C17">
        <v>3.4986350798049681E-4</v>
      </c>
      <c r="D17">
        <v>9.5593352372716489E-4</v>
      </c>
      <c r="E17">
        <v>0</v>
      </c>
      <c r="F17">
        <v>1.0541986680613351E-3</v>
      </c>
      <c r="G17">
        <v>2.010132191787084E-3</v>
      </c>
      <c r="H17">
        <v>2080</v>
      </c>
      <c r="I17">
        <v>15</v>
      </c>
      <c r="J17">
        <v>4.3164620698638309E-6</v>
      </c>
    </row>
    <row r="18" spans="1:10" x14ac:dyDescent="0.25">
      <c r="A18" t="s">
        <v>57</v>
      </c>
      <c r="B18">
        <v>81.253461689007963</v>
      </c>
      <c r="C18">
        <v>3.5074918422129542E-4</v>
      </c>
      <c r="D18">
        <v>9.5832591020966751E-4</v>
      </c>
      <c r="E18">
        <v>0</v>
      </c>
      <c r="F18">
        <v>1.056894912664752E-3</v>
      </c>
      <c r="G18">
        <v>2.015220822874753E-3</v>
      </c>
      <c r="H18">
        <v>2080</v>
      </c>
      <c r="I18">
        <v>16</v>
      </c>
      <c r="J18">
        <v>4.3167291205852094E-6</v>
      </c>
    </row>
    <row r="19" spans="1:10" x14ac:dyDescent="0.25">
      <c r="A19" t="s">
        <v>57</v>
      </c>
      <c r="B19">
        <v>81.712774951083702</v>
      </c>
      <c r="C19">
        <v>3.527711511841225E-4</v>
      </c>
      <c r="D19">
        <v>9.6381919663979243E-4</v>
      </c>
      <c r="E19">
        <v>0</v>
      </c>
      <c r="F19">
        <v>1.0630187877566639E-3</v>
      </c>
      <c r="G19">
        <v>2.0268379843958462E-3</v>
      </c>
      <c r="H19">
        <v>2080</v>
      </c>
      <c r="I19">
        <v>17</v>
      </c>
      <c r="J19">
        <v>4.3172092906562578E-6</v>
      </c>
    </row>
    <row r="20" spans="1:10" x14ac:dyDescent="0.25">
      <c r="A20" t="s">
        <v>57</v>
      </c>
      <c r="B20">
        <v>81.128111033998721</v>
      </c>
      <c r="C20">
        <v>3.5182845152345599E-4</v>
      </c>
      <c r="D20">
        <v>9.6124814073578202E-4</v>
      </c>
      <c r="E20">
        <v>0</v>
      </c>
      <c r="F20">
        <v>1.060173585915591E-3</v>
      </c>
      <c r="G20">
        <v>2.0214217266500412E-3</v>
      </c>
      <c r="H20">
        <v>2080</v>
      </c>
      <c r="I20">
        <v>18</v>
      </c>
      <c r="J20">
        <v>4.3367021250625901E-6</v>
      </c>
    </row>
    <row r="21" spans="1:10" x14ac:dyDescent="0.25">
      <c r="A21" t="s">
        <v>57</v>
      </c>
      <c r="B21">
        <v>81.208835255016311</v>
      </c>
      <c r="C21">
        <v>3.5056176127827582E-4</v>
      </c>
      <c r="D21">
        <v>9.5780047529556156E-4</v>
      </c>
      <c r="E21">
        <v>0</v>
      </c>
      <c r="F21">
        <v>1.0563435136640711E-3</v>
      </c>
      <c r="G21">
        <v>2.0141439889593271E-3</v>
      </c>
      <c r="H21">
        <v>2080</v>
      </c>
      <c r="I21">
        <v>19</v>
      </c>
      <c r="J21">
        <v>4.3167933658625077E-6</v>
      </c>
    </row>
    <row r="22" spans="1:10" x14ac:dyDescent="0.25">
      <c r="A22" t="s">
        <v>57</v>
      </c>
      <c r="B22">
        <v>80.928550569078652</v>
      </c>
      <c r="C22">
        <v>3.4934817184965877E-4</v>
      </c>
      <c r="D22">
        <v>9.5449168200648082E-4</v>
      </c>
      <c r="E22">
        <v>0</v>
      </c>
      <c r="F22">
        <v>1.0526796586990681E-3</v>
      </c>
      <c r="G22">
        <v>2.0071713407058271E-3</v>
      </c>
      <c r="H22">
        <v>2080</v>
      </c>
      <c r="I22">
        <v>20</v>
      </c>
      <c r="J22">
        <v>4.3167481611012376E-6</v>
      </c>
    </row>
    <row r="23" spans="1:10" x14ac:dyDescent="0.25">
      <c r="A23" t="s">
        <v>62</v>
      </c>
      <c r="B23">
        <v>564.50557852602287</v>
      </c>
      <c r="C23">
        <v>2.4429024071588989E-3</v>
      </c>
      <c r="D23">
        <v>6.6594410668865964E-3</v>
      </c>
      <c r="E23">
        <v>0</v>
      </c>
      <c r="F23">
        <v>7.3761947111018753E-3</v>
      </c>
      <c r="G23">
        <v>1.4035635777988579E-2</v>
      </c>
      <c r="H23">
        <v>2080</v>
      </c>
      <c r="I23">
        <v>1</v>
      </c>
      <c r="J23">
        <v>4.3275080000760084E-6</v>
      </c>
    </row>
    <row r="24" spans="1:10" x14ac:dyDescent="0.25">
      <c r="A24" t="s">
        <v>62</v>
      </c>
      <c r="B24">
        <v>563.1683592250356</v>
      </c>
      <c r="C24">
        <v>2.4373337447487911E-3</v>
      </c>
      <c r="D24">
        <v>6.6442615069874922E-3</v>
      </c>
      <c r="E24">
        <v>0</v>
      </c>
      <c r="F24">
        <v>7.3593796579007496E-3</v>
      </c>
      <c r="G24">
        <v>1.400364116488817E-2</v>
      </c>
      <c r="H24">
        <v>2080</v>
      </c>
      <c r="I24">
        <v>2</v>
      </c>
      <c r="J24">
        <v>4.3278953883395648E-6</v>
      </c>
    </row>
    <row r="25" spans="1:10" x14ac:dyDescent="0.25">
      <c r="A25" t="s">
        <v>62</v>
      </c>
      <c r="B25">
        <v>555.93392377705277</v>
      </c>
      <c r="C25">
        <v>2.4060866188552982E-3</v>
      </c>
      <c r="D25">
        <v>6.5591185397131761E-3</v>
      </c>
      <c r="E25">
        <v>0</v>
      </c>
      <c r="F25">
        <v>7.2649930308431934E-3</v>
      </c>
      <c r="G25">
        <v>1.3824111570556231E-2</v>
      </c>
      <c r="H25">
        <v>2080</v>
      </c>
      <c r="I25">
        <v>3</v>
      </c>
      <c r="J25">
        <v>4.3280082685154058E-6</v>
      </c>
    </row>
    <row r="26" spans="1:10" x14ac:dyDescent="0.25">
      <c r="A26" t="s">
        <v>62</v>
      </c>
      <c r="B26">
        <v>559.16544641096152</v>
      </c>
      <c r="C26">
        <v>2.419301945750085E-3</v>
      </c>
      <c r="D26">
        <v>6.595115111337594E-3</v>
      </c>
      <c r="E26">
        <v>0</v>
      </c>
      <c r="F26">
        <v>7.3049247952991538E-3</v>
      </c>
      <c r="G26">
        <v>1.3900039906636579E-2</v>
      </c>
      <c r="H26">
        <v>2080</v>
      </c>
      <c r="I26">
        <v>4</v>
      </c>
      <c r="J26">
        <v>4.3266299111980642E-6</v>
      </c>
    </row>
    <row r="27" spans="1:10" x14ac:dyDescent="0.25">
      <c r="A27" t="s">
        <v>62</v>
      </c>
      <c r="B27">
        <v>559.69137785594648</v>
      </c>
      <c r="C27">
        <v>2.42206680286098E-3</v>
      </c>
      <c r="D27">
        <v>6.6026433688939137E-3</v>
      </c>
      <c r="E27">
        <v>0</v>
      </c>
      <c r="F27">
        <v>7.3132819563626883E-3</v>
      </c>
      <c r="G27">
        <v>1.3915925325256659E-2</v>
      </c>
      <c r="H27">
        <v>2080</v>
      </c>
      <c r="I27">
        <v>5</v>
      </c>
      <c r="J27">
        <v>4.3275042258813776E-6</v>
      </c>
    </row>
    <row r="28" spans="1:10" x14ac:dyDescent="0.25">
      <c r="A28" t="s">
        <v>62</v>
      </c>
      <c r="B28">
        <v>555.41949801800365</v>
      </c>
      <c r="C28">
        <v>2.4035364249127798E-3</v>
      </c>
      <c r="D28">
        <v>6.552162287011068E-3</v>
      </c>
      <c r="E28">
        <v>0</v>
      </c>
      <c r="F28">
        <v>7.2572972068854213E-3</v>
      </c>
      <c r="G28">
        <v>1.3809459493896449E-2</v>
      </c>
      <c r="H28">
        <v>2080</v>
      </c>
      <c r="I28">
        <v>6</v>
      </c>
      <c r="J28">
        <v>4.3274253667538163E-6</v>
      </c>
    </row>
    <row r="29" spans="1:10" x14ac:dyDescent="0.25">
      <c r="A29" t="s">
        <v>62</v>
      </c>
      <c r="B29">
        <v>560.1156248060397</v>
      </c>
      <c r="C29">
        <v>2.423912358890043E-3</v>
      </c>
      <c r="D29">
        <v>6.607674762655294E-3</v>
      </c>
      <c r="E29">
        <v>0</v>
      </c>
      <c r="F29">
        <v>7.3188541594361098E-3</v>
      </c>
      <c r="G29">
        <v>1.392652892209117E-2</v>
      </c>
      <c r="H29">
        <v>2080</v>
      </c>
      <c r="I29">
        <v>7</v>
      </c>
      <c r="J29">
        <v>4.3275214108326478E-6</v>
      </c>
    </row>
    <row r="30" spans="1:10" x14ac:dyDescent="0.25">
      <c r="A30" t="s">
        <v>62</v>
      </c>
      <c r="B30">
        <v>557.46114693199706</v>
      </c>
      <c r="C30">
        <v>2.41236204828826E-3</v>
      </c>
      <c r="D30">
        <v>6.5762127108473373E-3</v>
      </c>
      <c r="E30">
        <v>0</v>
      </c>
      <c r="F30">
        <v>7.2839541853788603E-3</v>
      </c>
      <c r="G30">
        <v>1.3860166896226539E-2</v>
      </c>
      <c r="H30">
        <v>2080</v>
      </c>
      <c r="I30">
        <v>8</v>
      </c>
      <c r="J30">
        <v>4.3274083970959444E-6</v>
      </c>
    </row>
    <row r="31" spans="1:10" x14ac:dyDescent="0.25">
      <c r="A31" t="s">
        <v>62</v>
      </c>
      <c r="B31">
        <v>558.83442173096046</v>
      </c>
      <c r="C31">
        <v>2.4183112587849481E-3</v>
      </c>
      <c r="D31">
        <v>6.5924298828891484E-3</v>
      </c>
      <c r="E31">
        <v>0</v>
      </c>
      <c r="F31">
        <v>7.30191805612114E-3</v>
      </c>
      <c r="G31">
        <v>1.389434793901137E-2</v>
      </c>
      <c r="H31">
        <v>2080</v>
      </c>
      <c r="I31">
        <v>9</v>
      </c>
      <c r="J31">
        <v>4.3274200098382538E-6</v>
      </c>
    </row>
    <row r="32" spans="1:10" x14ac:dyDescent="0.25">
      <c r="A32" t="s">
        <v>62</v>
      </c>
      <c r="B32">
        <v>556.46078666002904</v>
      </c>
      <c r="C32">
        <v>2.407978741528444E-3</v>
      </c>
      <c r="D32">
        <v>6.5642794996008391E-3</v>
      </c>
      <c r="E32">
        <v>0</v>
      </c>
      <c r="F32">
        <v>7.2707032153010026E-3</v>
      </c>
      <c r="G32">
        <v>1.3834982714901189E-2</v>
      </c>
      <c r="H32">
        <v>2080</v>
      </c>
      <c r="I32">
        <v>10</v>
      </c>
      <c r="J32">
        <v>4.3273107454373142E-6</v>
      </c>
    </row>
    <row r="33" spans="1:10" x14ac:dyDescent="0.25">
      <c r="A33" t="s">
        <v>62</v>
      </c>
      <c r="B33">
        <v>558.01063067194264</v>
      </c>
      <c r="C33">
        <v>2.4147826245553561E-3</v>
      </c>
      <c r="D33">
        <v>6.5828096596734359E-3</v>
      </c>
      <c r="E33">
        <v>0</v>
      </c>
      <c r="F33">
        <v>7.2912645980408586E-3</v>
      </c>
      <c r="G33">
        <v>1.3874074257715221E-2</v>
      </c>
      <c r="H33">
        <v>2080</v>
      </c>
      <c r="I33">
        <v>11</v>
      </c>
      <c r="J33">
        <v>4.3274849829429497E-6</v>
      </c>
    </row>
    <row r="34" spans="1:10" x14ac:dyDescent="0.25">
      <c r="A34" t="s">
        <v>62</v>
      </c>
      <c r="B34">
        <v>558.80595463288773</v>
      </c>
      <c r="C34">
        <v>2.419290692347129E-3</v>
      </c>
      <c r="D34">
        <v>6.5951045600276398E-3</v>
      </c>
      <c r="E34">
        <v>0</v>
      </c>
      <c r="F34">
        <v>7.3048706904595556E-3</v>
      </c>
      <c r="G34">
        <v>1.389997525048689E-2</v>
      </c>
      <c r="H34">
        <v>2080</v>
      </c>
      <c r="I34">
        <v>12</v>
      </c>
      <c r="J34">
        <v>4.3293931861132399E-6</v>
      </c>
    </row>
    <row r="35" spans="1:10" x14ac:dyDescent="0.25">
      <c r="A35" t="s">
        <v>62</v>
      </c>
      <c r="B35">
        <v>552.44216430102824</v>
      </c>
      <c r="C35">
        <v>2.3905260164017311E-3</v>
      </c>
      <c r="D35">
        <v>6.5167304800641812E-3</v>
      </c>
      <c r="E35">
        <v>0</v>
      </c>
      <c r="F35">
        <v>7.2179780312927461E-3</v>
      </c>
      <c r="G35">
        <v>1.3734708511357189E-2</v>
      </c>
      <c r="H35">
        <v>2080</v>
      </c>
      <c r="I35">
        <v>13</v>
      </c>
      <c r="J35">
        <v>4.3271968920517131E-6</v>
      </c>
    </row>
    <row r="36" spans="1:10" x14ac:dyDescent="0.25">
      <c r="A36" t="s">
        <v>62</v>
      </c>
      <c r="B36">
        <v>559.71812323805716</v>
      </c>
      <c r="C36">
        <v>2.422085621638051E-3</v>
      </c>
      <c r="D36">
        <v>6.6027192443937196E-3</v>
      </c>
      <c r="E36">
        <v>0</v>
      </c>
      <c r="F36">
        <v>7.3133142036843624E-3</v>
      </c>
      <c r="G36">
        <v>1.391603344807818E-2</v>
      </c>
      <c r="H36">
        <v>2080</v>
      </c>
      <c r="I36">
        <v>14</v>
      </c>
      <c r="J36">
        <v>4.3273310637609979E-6</v>
      </c>
    </row>
    <row r="37" spans="1:10" x14ac:dyDescent="0.25">
      <c r="A37" t="s">
        <v>62</v>
      </c>
      <c r="B37">
        <v>557.32831318504395</v>
      </c>
      <c r="C37">
        <v>2.4117997350115231E-3</v>
      </c>
      <c r="D37">
        <v>6.5746939667009896E-3</v>
      </c>
      <c r="E37">
        <v>0</v>
      </c>
      <c r="F37">
        <v>7.2822421724048902E-3</v>
      </c>
      <c r="G37">
        <v>1.385693613910555E-2</v>
      </c>
      <c r="H37">
        <v>2080</v>
      </c>
      <c r="I37">
        <v>15</v>
      </c>
      <c r="J37">
        <v>4.3274308481269596E-6</v>
      </c>
    </row>
    <row r="38" spans="1:10" x14ac:dyDescent="0.25">
      <c r="A38" t="s">
        <v>62</v>
      </c>
      <c r="B38">
        <v>564.81290501900003</v>
      </c>
      <c r="C38">
        <v>2.4441767850036382E-3</v>
      </c>
      <c r="D38">
        <v>6.6629117479514444E-3</v>
      </c>
      <c r="E38">
        <v>0</v>
      </c>
      <c r="F38">
        <v>7.3800459366389903E-3</v>
      </c>
      <c r="G38">
        <v>1.4042957684593399E-2</v>
      </c>
      <c r="H38">
        <v>2080</v>
      </c>
      <c r="I38">
        <v>16</v>
      </c>
      <c r="J38">
        <v>4.3274095957871524E-6</v>
      </c>
    </row>
    <row r="39" spans="1:10" x14ac:dyDescent="0.25">
      <c r="A39" t="s">
        <v>62</v>
      </c>
      <c r="B39">
        <v>551.7015973369198</v>
      </c>
      <c r="C39">
        <v>2.387430277735518E-3</v>
      </c>
      <c r="D39">
        <v>6.5082982979015602E-3</v>
      </c>
      <c r="E39">
        <v>0</v>
      </c>
      <c r="F39">
        <v>7.208623722987334E-3</v>
      </c>
      <c r="G39">
        <v>1.37169220208887E-2</v>
      </c>
      <c r="H39">
        <v>2080</v>
      </c>
      <c r="I39">
        <v>17</v>
      </c>
      <c r="J39">
        <v>4.3273941733352152E-6</v>
      </c>
    </row>
    <row r="40" spans="1:10" x14ac:dyDescent="0.25">
      <c r="A40" t="s">
        <v>62</v>
      </c>
      <c r="B40">
        <v>557.94567578392889</v>
      </c>
      <c r="C40">
        <v>2.4144386513268029E-3</v>
      </c>
      <c r="D40">
        <v>6.5818810549176099E-3</v>
      </c>
      <c r="E40">
        <v>0</v>
      </c>
      <c r="F40">
        <v>7.2902169130605321E-3</v>
      </c>
      <c r="G40">
        <v>1.3872097967979219E-2</v>
      </c>
      <c r="H40">
        <v>2080</v>
      </c>
      <c r="I40">
        <v>18</v>
      </c>
      <c r="J40">
        <v>4.327372280346919E-6</v>
      </c>
    </row>
    <row r="41" spans="1:10" x14ac:dyDescent="0.25">
      <c r="A41" t="s">
        <v>62</v>
      </c>
      <c r="B41">
        <v>557.5066326789929</v>
      </c>
      <c r="C41">
        <v>2.412476072630607E-3</v>
      </c>
      <c r="D41">
        <v>6.5765313306456463E-3</v>
      </c>
      <c r="E41">
        <v>0</v>
      </c>
      <c r="F41">
        <v>7.2842906896388726E-3</v>
      </c>
      <c r="G41">
        <v>1.386082202028505E-2</v>
      </c>
      <c r="H41">
        <v>2080</v>
      </c>
      <c r="I41">
        <v>19</v>
      </c>
      <c r="J41">
        <v>4.327259858843128E-6</v>
      </c>
    </row>
    <row r="42" spans="1:10" x14ac:dyDescent="0.25">
      <c r="A42" t="s">
        <v>62</v>
      </c>
      <c r="B42">
        <v>558.35335216998283</v>
      </c>
      <c r="C42">
        <v>2.416173195308513E-3</v>
      </c>
      <c r="D42">
        <v>6.5866111924607904E-3</v>
      </c>
      <c r="E42">
        <v>0</v>
      </c>
      <c r="F42">
        <v>7.2954525553618199E-3</v>
      </c>
      <c r="G42">
        <v>1.3882063747821751E-2</v>
      </c>
      <c r="H42">
        <v>2080</v>
      </c>
      <c r="I42">
        <v>20</v>
      </c>
      <c r="J42">
        <v>4.3273192252151877E-6</v>
      </c>
    </row>
    <row r="43" spans="1:10" x14ac:dyDescent="0.25">
      <c r="A43" t="s">
        <v>63</v>
      </c>
      <c r="B43">
        <v>140.89633432996021</v>
      </c>
      <c r="C43">
        <v>6.0783780749742674E-4</v>
      </c>
      <c r="D43">
        <v>1.6593030485692821E-3</v>
      </c>
      <c r="E43">
        <v>0</v>
      </c>
      <c r="F43">
        <v>1.8330141447511839E-3</v>
      </c>
      <c r="G43">
        <v>3.4923171933204759E-3</v>
      </c>
      <c r="H43">
        <v>2080</v>
      </c>
      <c r="I43">
        <v>1</v>
      </c>
      <c r="J43">
        <v>4.3140782220348824E-6</v>
      </c>
    </row>
    <row r="44" spans="1:10" x14ac:dyDescent="0.25">
      <c r="A44" t="s">
        <v>63</v>
      </c>
      <c r="B44">
        <v>139.16941128993309</v>
      </c>
      <c r="C44">
        <v>6.0065298632465186E-4</v>
      </c>
      <c r="D44">
        <v>1.6397162796239521E-3</v>
      </c>
      <c r="E44">
        <v>0</v>
      </c>
      <c r="F44">
        <v>1.81132070012114E-3</v>
      </c>
      <c r="G44">
        <v>3.4510369797452721E-3</v>
      </c>
      <c r="H44">
        <v>2080</v>
      </c>
      <c r="I44">
        <v>2</v>
      </c>
      <c r="J44">
        <v>4.3159842436446399E-6</v>
      </c>
    </row>
    <row r="45" spans="1:10" x14ac:dyDescent="0.25">
      <c r="A45" t="s">
        <v>63</v>
      </c>
      <c r="B45">
        <v>137.50498652702299</v>
      </c>
      <c r="C45">
        <v>5.9312221725429243E-4</v>
      </c>
      <c r="D45">
        <v>1.6191887282690459E-3</v>
      </c>
      <c r="E45">
        <v>0</v>
      </c>
      <c r="F45">
        <v>1.788580402752437E-3</v>
      </c>
      <c r="G45">
        <v>3.4077691310214209E-3</v>
      </c>
      <c r="H45">
        <v>2080</v>
      </c>
      <c r="I45">
        <v>3</v>
      </c>
      <c r="J45">
        <v>4.3134596950615296E-6</v>
      </c>
    </row>
    <row r="46" spans="1:10" x14ac:dyDescent="0.25">
      <c r="A46" t="s">
        <v>63</v>
      </c>
      <c r="B46">
        <v>139.24191996699659</v>
      </c>
      <c r="C46">
        <v>6.006259289575034E-4</v>
      </c>
      <c r="D46">
        <v>1.6396246908486969E-3</v>
      </c>
      <c r="E46">
        <v>0</v>
      </c>
      <c r="F46">
        <v>1.811256831458545E-3</v>
      </c>
      <c r="G46">
        <v>3.4508815223069571E-3</v>
      </c>
      <c r="H46">
        <v>2080</v>
      </c>
      <c r="I46">
        <v>4</v>
      </c>
      <c r="J46">
        <v>4.3135424238610383E-6</v>
      </c>
    </row>
    <row r="47" spans="1:10" x14ac:dyDescent="0.25">
      <c r="A47" t="s">
        <v>63</v>
      </c>
      <c r="B47">
        <v>140.02871747793509</v>
      </c>
      <c r="C47">
        <v>6.0360553828715455E-4</v>
      </c>
      <c r="D47">
        <v>1.64773993892682E-3</v>
      </c>
      <c r="E47">
        <v>0</v>
      </c>
      <c r="F47">
        <v>1.820260855599005E-3</v>
      </c>
      <c r="G47">
        <v>3.468000794525999E-3</v>
      </c>
      <c r="H47">
        <v>2080</v>
      </c>
      <c r="I47">
        <v>5</v>
      </c>
      <c r="J47">
        <v>4.3105839227747503E-6</v>
      </c>
    </row>
    <row r="48" spans="1:10" x14ac:dyDescent="0.25">
      <c r="A48" t="s">
        <v>63</v>
      </c>
      <c r="B48">
        <v>138.6620673790421</v>
      </c>
      <c r="C48">
        <v>5.9817863565607074E-4</v>
      </c>
      <c r="D48">
        <v>1.632953495433485E-3</v>
      </c>
      <c r="E48">
        <v>0</v>
      </c>
      <c r="F48">
        <v>1.8038671633203789E-3</v>
      </c>
      <c r="G48">
        <v>3.4368206587540172E-3</v>
      </c>
      <c r="H48">
        <v>2080</v>
      </c>
      <c r="I48">
        <v>6</v>
      </c>
      <c r="J48">
        <v>4.3139313221178869E-6</v>
      </c>
    </row>
    <row r="49" spans="1:10" x14ac:dyDescent="0.25">
      <c r="A49" t="s">
        <v>63</v>
      </c>
      <c r="B49">
        <v>139.10134543500499</v>
      </c>
      <c r="C49">
        <v>6.0007863534130776E-4</v>
      </c>
      <c r="D49">
        <v>1.638127096697334E-3</v>
      </c>
      <c r="E49">
        <v>0</v>
      </c>
      <c r="F49">
        <v>1.8096099635816279E-3</v>
      </c>
      <c r="G49">
        <v>3.4477370602781642E-3</v>
      </c>
      <c r="H49">
        <v>2080</v>
      </c>
      <c r="I49">
        <v>7</v>
      </c>
      <c r="J49">
        <v>4.3139671544132841E-6</v>
      </c>
    </row>
    <row r="50" spans="1:10" x14ac:dyDescent="0.25">
      <c r="A50" t="s">
        <v>63</v>
      </c>
      <c r="B50">
        <v>138.663065947012</v>
      </c>
      <c r="C50">
        <v>5.9819041264966982E-4</v>
      </c>
      <c r="D50">
        <v>1.6329992363296191E-3</v>
      </c>
      <c r="E50">
        <v>0</v>
      </c>
      <c r="F50">
        <v>1.8038890868527361E-3</v>
      </c>
      <c r="G50">
        <v>3.436888323181259E-3</v>
      </c>
      <c r="H50">
        <v>2080</v>
      </c>
      <c r="I50">
        <v>8</v>
      </c>
      <c r="J50">
        <v>4.3139851882278389E-6</v>
      </c>
    </row>
    <row r="51" spans="1:10" x14ac:dyDescent="0.25">
      <c r="A51" t="s">
        <v>63</v>
      </c>
      <c r="B51">
        <v>139.68674746895519</v>
      </c>
      <c r="C51">
        <v>6.0258186562556215E-4</v>
      </c>
      <c r="D51">
        <v>1.6449654342827751E-3</v>
      </c>
      <c r="E51">
        <v>0</v>
      </c>
      <c r="F51">
        <v>1.8171538741081209E-3</v>
      </c>
      <c r="G51">
        <v>3.4621193083911321E-3</v>
      </c>
      <c r="H51">
        <v>2080</v>
      </c>
      <c r="I51">
        <v>9</v>
      </c>
      <c r="J51">
        <v>4.3138084073400259E-6</v>
      </c>
    </row>
    <row r="52" spans="1:10" x14ac:dyDescent="0.25">
      <c r="A52" t="s">
        <v>63</v>
      </c>
      <c r="B52">
        <v>138.37388301700051</v>
      </c>
      <c r="C52">
        <v>5.9692334513557557E-4</v>
      </c>
      <c r="D52">
        <v>1.6295547768911121E-3</v>
      </c>
      <c r="E52">
        <v>0</v>
      </c>
      <c r="F52">
        <v>1.800053641009242E-3</v>
      </c>
      <c r="G52">
        <v>3.4296084179005482E-3</v>
      </c>
      <c r="H52">
        <v>2080</v>
      </c>
      <c r="I52">
        <v>10</v>
      </c>
      <c r="J52">
        <v>4.3138440009104762E-6</v>
      </c>
    </row>
    <row r="53" spans="1:10" x14ac:dyDescent="0.25">
      <c r="A53" t="s">
        <v>63</v>
      </c>
      <c r="B53">
        <v>138.30273463201959</v>
      </c>
      <c r="C53">
        <v>5.9657198753499535E-4</v>
      </c>
      <c r="D53">
        <v>1.62859402651859E-3</v>
      </c>
      <c r="E53">
        <v>0</v>
      </c>
      <c r="F53">
        <v>1.7989956749168701E-3</v>
      </c>
      <c r="G53">
        <v>3.4275897014355021E-3</v>
      </c>
      <c r="H53">
        <v>2080</v>
      </c>
      <c r="I53">
        <v>11</v>
      </c>
      <c r="J53">
        <v>4.3135227161074386E-6</v>
      </c>
    </row>
    <row r="54" spans="1:10" x14ac:dyDescent="0.25">
      <c r="A54" t="s">
        <v>63</v>
      </c>
      <c r="B54">
        <v>137.3185555929376</v>
      </c>
      <c r="C54">
        <v>5.9235511409058694E-4</v>
      </c>
      <c r="D54">
        <v>1.6171079301931649E-3</v>
      </c>
      <c r="E54">
        <v>0</v>
      </c>
      <c r="F54">
        <v>1.7862538284426771E-3</v>
      </c>
      <c r="G54">
        <v>3.4033617586355369E-3</v>
      </c>
      <c r="H54">
        <v>2080</v>
      </c>
      <c r="I54">
        <v>12</v>
      </c>
      <c r="J54">
        <v>4.3137295723277484E-6</v>
      </c>
    </row>
    <row r="55" spans="1:10" x14ac:dyDescent="0.25">
      <c r="A55" t="s">
        <v>63</v>
      </c>
      <c r="B55">
        <v>137.5414955799715</v>
      </c>
      <c r="C55">
        <v>5.9330580114721337E-4</v>
      </c>
      <c r="D55">
        <v>1.6196999734966191E-3</v>
      </c>
      <c r="E55">
        <v>0</v>
      </c>
      <c r="F55">
        <v>1.7891239342722051E-3</v>
      </c>
      <c r="G55">
        <v>3.408823907769531E-3</v>
      </c>
      <c r="H55">
        <v>2080</v>
      </c>
      <c r="I55">
        <v>13</v>
      </c>
      <c r="J55">
        <v>4.313649481892134E-6</v>
      </c>
    </row>
    <row r="56" spans="1:10" x14ac:dyDescent="0.25">
      <c r="A56" t="s">
        <v>63</v>
      </c>
      <c r="B56">
        <v>137.00037501406399</v>
      </c>
      <c r="C56">
        <v>5.9093937656026774E-4</v>
      </c>
      <c r="D56">
        <v>1.613248562084293E-3</v>
      </c>
      <c r="E56">
        <v>0</v>
      </c>
      <c r="F56">
        <v>1.781979111345561E-3</v>
      </c>
      <c r="G56">
        <v>3.3952276734293681E-3</v>
      </c>
      <c r="H56">
        <v>2080</v>
      </c>
      <c r="I56">
        <v>14</v>
      </c>
      <c r="J56">
        <v>4.3134142990455589E-6</v>
      </c>
    </row>
    <row r="57" spans="1:10" x14ac:dyDescent="0.25">
      <c r="A57" t="s">
        <v>63</v>
      </c>
      <c r="B57">
        <v>139.75873805808081</v>
      </c>
      <c r="C57">
        <v>6.0158272029670057E-4</v>
      </c>
      <c r="D57">
        <v>1.642252913302944E-3</v>
      </c>
      <c r="E57">
        <v>0</v>
      </c>
      <c r="F57">
        <v>1.8141258301419549E-3</v>
      </c>
      <c r="G57">
        <v>3.4563787434468418E-3</v>
      </c>
      <c r="H57">
        <v>2080</v>
      </c>
      <c r="I57">
        <v>15</v>
      </c>
      <c r="J57">
        <v>4.3044372656448536E-6</v>
      </c>
    </row>
    <row r="58" spans="1:10" x14ac:dyDescent="0.25">
      <c r="A58" t="s">
        <v>63</v>
      </c>
      <c r="B58">
        <v>138.49706584197699</v>
      </c>
      <c r="C58">
        <v>5.9741173298768352E-4</v>
      </c>
      <c r="D58">
        <v>1.6308813615151241E-3</v>
      </c>
      <c r="E58">
        <v>0</v>
      </c>
      <c r="F58">
        <v>1.801533076794926E-3</v>
      </c>
      <c r="G58">
        <v>3.4324144383101052E-3</v>
      </c>
      <c r="H58">
        <v>2080</v>
      </c>
      <c r="I58">
        <v>16</v>
      </c>
      <c r="J58">
        <v>4.3135334987480593E-6</v>
      </c>
    </row>
    <row r="59" spans="1:10" x14ac:dyDescent="0.25">
      <c r="A59" t="s">
        <v>63</v>
      </c>
      <c r="B59">
        <v>137.84494820088369</v>
      </c>
      <c r="C59">
        <v>5.9463619417425562E-4</v>
      </c>
      <c r="D59">
        <v>1.6233229004581351E-3</v>
      </c>
      <c r="E59">
        <v>0</v>
      </c>
      <c r="F59">
        <v>1.7931447477707581E-3</v>
      </c>
      <c r="G59">
        <v>3.416467648228283E-3</v>
      </c>
      <c r="H59">
        <v>2080</v>
      </c>
      <c r="I59">
        <v>17</v>
      </c>
      <c r="J59">
        <v>4.3138047635063323E-6</v>
      </c>
    </row>
    <row r="60" spans="1:10" x14ac:dyDescent="0.25">
      <c r="A60" t="s">
        <v>63</v>
      </c>
      <c r="B60">
        <v>137.07695071096171</v>
      </c>
      <c r="C60">
        <v>5.9127943740294037E-4</v>
      </c>
      <c r="D60">
        <v>1.6141724257500989E-3</v>
      </c>
      <c r="E60">
        <v>0</v>
      </c>
      <c r="F60">
        <v>1.7830090588970839E-3</v>
      </c>
      <c r="G60">
        <v>3.3971814846477382E-3</v>
      </c>
      <c r="H60">
        <v>2080</v>
      </c>
      <c r="I60">
        <v>18</v>
      </c>
      <c r="J60">
        <v>4.3134854863360869E-6</v>
      </c>
    </row>
    <row r="61" spans="1:10" x14ac:dyDescent="0.25">
      <c r="A61" t="s">
        <v>63</v>
      </c>
      <c r="B61">
        <v>136.44269029201311</v>
      </c>
      <c r="C61">
        <v>5.8854242759087683E-4</v>
      </c>
      <c r="D61">
        <v>1.606711987307025E-3</v>
      </c>
      <c r="E61">
        <v>0</v>
      </c>
      <c r="F61">
        <v>1.7747440746884451E-3</v>
      </c>
      <c r="G61">
        <v>3.3814560619987999E-3</v>
      </c>
      <c r="H61">
        <v>2080</v>
      </c>
      <c r="I61">
        <v>19</v>
      </c>
      <c r="J61">
        <v>4.3134771553630668E-6</v>
      </c>
    </row>
    <row r="62" spans="1:10" x14ac:dyDescent="0.25">
      <c r="A62" t="s">
        <v>63</v>
      </c>
      <c r="B62">
        <v>136.864524944056</v>
      </c>
      <c r="C62">
        <v>5.9033294436856842E-4</v>
      </c>
      <c r="D62">
        <v>1.611592309658932E-3</v>
      </c>
      <c r="E62">
        <v>0</v>
      </c>
      <c r="F62">
        <v>1.780151122509871E-3</v>
      </c>
      <c r="G62">
        <v>3.3917434321673601E-3</v>
      </c>
      <c r="H62">
        <v>2080</v>
      </c>
      <c r="I62">
        <v>20</v>
      </c>
      <c r="J62">
        <v>4.3132648479207417E-6</v>
      </c>
    </row>
    <row r="63" spans="1:10" x14ac:dyDescent="0.25">
      <c r="A63" t="s">
        <v>64</v>
      </c>
      <c r="B63">
        <v>3.8282120569856488</v>
      </c>
      <c r="C63">
        <v>1.5944375259126919E-5</v>
      </c>
      <c r="D63">
        <v>4.5572436904702849E-5</v>
      </c>
      <c r="E63">
        <v>0</v>
      </c>
      <c r="F63">
        <v>4.6035579522244858E-5</v>
      </c>
      <c r="G63">
        <v>9.1608016427015477E-5</v>
      </c>
      <c r="H63">
        <v>2080</v>
      </c>
      <c r="I63">
        <v>1</v>
      </c>
      <c r="J63">
        <v>4.1649665749398407E-6</v>
      </c>
    </row>
    <row r="64" spans="1:10" x14ac:dyDescent="0.25">
      <c r="A64" t="s">
        <v>64</v>
      </c>
      <c r="B64">
        <v>3.826142977995914</v>
      </c>
      <c r="C64">
        <v>1.6130160852199229E-5</v>
      </c>
      <c r="D64">
        <v>4.6095893655820688E-5</v>
      </c>
      <c r="E64">
        <v>0</v>
      </c>
      <c r="F64">
        <v>4.6579549332931292E-5</v>
      </c>
      <c r="G64">
        <v>9.2675442988729428E-5</v>
      </c>
      <c r="H64">
        <v>2080</v>
      </c>
      <c r="I64">
        <v>2</v>
      </c>
      <c r="J64">
        <v>4.2157757681726801E-6</v>
      </c>
    </row>
    <row r="65" spans="1:10" x14ac:dyDescent="0.25">
      <c r="A65" t="s">
        <v>64</v>
      </c>
      <c r="B65">
        <v>3.8228314110510841</v>
      </c>
      <c r="C65">
        <v>1.6080543467794119E-5</v>
      </c>
      <c r="D65">
        <v>4.5949193030105778E-5</v>
      </c>
      <c r="E65">
        <v>0</v>
      </c>
      <c r="F65">
        <v>4.6441174495509552E-5</v>
      </c>
      <c r="G65">
        <v>9.239036752542451E-5</v>
      </c>
      <c r="H65">
        <v>2080</v>
      </c>
      <c r="I65">
        <v>3</v>
      </c>
      <c r="J65">
        <v>4.2064485034072674E-6</v>
      </c>
    </row>
    <row r="66" spans="1:10" x14ac:dyDescent="0.25">
      <c r="A66" t="s">
        <v>64</v>
      </c>
      <c r="B66">
        <v>3.8148204389890452</v>
      </c>
      <c r="C66">
        <v>1.6018285395312869E-5</v>
      </c>
      <c r="D66">
        <v>4.5785883485874312E-5</v>
      </c>
      <c r="E66">
        <v>0</v>
      </c>
      <c r="F66">
        <v>4.6246781812989142E-5</v>
      </c>
      <c r="G66">
        <v>9.2032665299050798E-5</v>
      </c>
      <c r="H66">
        <v>2080</v>
      </c>
      <c r="I66">
        <v>4</v>
      </c>
      <c r="J66">
        <v>4.198961825725625E-6</v>
      </c>
    </row>
    <row r="67" spans="1:10" x14ac:dyDescent="0.25">
      <c r="A67" t="s">
        <v>64</v>
      </c>
      <c r="B67">
        <v>3.8161063999959879</v>
      </c>
      <c r="C67">
        <v>1.6076635831337519E-5</v>
      </c>
      <c r="D67">
        <v>4.5938443729874601E-5</v>
      </c>
      <c r="E67">
        <v>0</v>
      </c>
      <c r="F67">
        <v>4.6429472565667762E-5</v>
      </c>
      <c r="G67">
        <v>9.2367916295965635E-5</v>
      </c>
      <c r="H67">
        <v>2080</v>
      </c>
      <c r="I67">
        <v>5</v>
      </c>
      <c r="J67">
        <v>4.2128374175715908E-6</v>
      </c>
    </row>
    <row r="68" spans="1:10" x14ac:dyDescent="0.25">
      <c r="A68" t="s">
        <v>64</v>
      </c>
      <c r="B68">
        <v>3.818888684994818</v>
      </c>
      <c r="C68">
        <v>1.6701401492270899E-5</v>
      </c>
      <c r="D68">
        <v>4.765141874286255E-5</v>
      </c>
      <c r="E68">
        <v>0</v>
      </c>
      <c r="F68">
        <v>4.8306073312791298E-5</v>
      </c>
      <c r="G68">
        <v>9.5957492055570581E-5</v>
      </c>
      <c r="H68">
        <v>2080</v>
      </c>
      <c r="I68">
        <v>6</v>
      </c>
      <c r="J68">
        <v>4.3733669320852592E-6</v>
      </c>
    </row>
    <row r="69" spans="1:10" x14ac:dyDescent="0.25">
      <c r="A69" t="s">
        <v>64</v>
      </c>
      <c r="B69">
        <v>3.813856249036689</v>
      </c>
      <c r="C69">
        <v>1.6079512568552279E-5</v>
      </c>
      <c r="D69">
        <v>4.595676112296998E-5</v>
      </c>
      <c r="E69">
        <v>0</v>
      </c>
      <c r="F69">
        <v>4.6427683396174653E-5</v>
      </c>
      <c r="G69">
        <v>9.2384444518534004E-5</v>
      </c>
      <c r="H69">
        <v>2080</v>
      </c>
      <c r="I69">
        <v>7</v>
      </c>
      <c r="J69">
        <v>4.2160772505816571E-6</v>
      </c>
    </row>
    <row r="70" spans="1:10" x14ac:dyDescent="0.25">
      <c r="A70" t="s">
        <v>64</v>
      </c>
      <c r="B70">
        <v>3.82963054602078</v>
      </c>
      <c r="C70">
        <v>1.6103388818688998E-5</v>
      </c>
      <c r="D70">
        <v>4.6025945243555189E-5</v>
      </c>
      <c r="E70">
        <v>0</v>
      </c>
      <c r="F70">
        <v>4.6495679684455122E-5</v>
      </c>
      <c r="G70">
        <v>9.2521624927871526E-5</v>
      </c>
      <c r="H70">
        <v>2080</v>
      </c>
      <c r="I70">
        <v>8</v>
      </c>
      <c r="J70">
        <v>4.2049457839794504E-6</v>
      </c>
    </row>
    <row r="71" spans="1:10" x14ac:dyDescent="0.25">
      <c r="A71" t="s">
        <v>64</v>
      </c>
      <c r="B71">
        <v>3.8453150380682928</v>
      </c>
      <c r="C71">
        <v>1.6112113735873571E-5</v>
      </c>
      <c r="D71">
        <v>4.6056788450224428E-5</v>
      </c>
      <c r="E71">
        <v>0</v>
      </c>
      <c r="F71">
        <v>4.6514965275440412E-5</v>
      </c>
      <c r="G71">
        <v>9.2571753725512185E-5</v>
      </c>
      <c r="H71">
        <v>2080</v>
      </c>
      <c r="I71">
        <v>9</v>
      </c>
      <c r="J71">
        <v>4.1900633826786643E-6</v>
      </c>
    </row>
    <row r="72" spans="1:10" x14ac:dyDescent="0.25">
      <c r="A72" t="s">
        <v>64</v>
      </c>
      <c r="B72">
        <v>3.8385994119762472</v>
      </c>
      <c r="C72">
        <v>1.6163329281979749E-5</v>
      </c>
      <c r="D72">
        <v>4.6200150843153647E-5</v>
      </c>
      <c r="E72">
        <v>0</v>
      </c>
      <c r="F72">
        <v>4.6665860543915187E-5</v>
      </c>
      <c r="G72">
        <v>9.2866011386916192E-5</v>
      </c>
      <c r="H72">
        <v>2080</v>
      </c>
      <c r="I72">
        <v>10</v>
      </c>
      <c r="J72">
        <v>4.2107361428626626E-6</v>
      </c>
    </row>
    <row r="73" spans="1:10" x14ac:dyDescent="0.25">
      <c r="A73" t="s">
        <v>64</v>
      </c>
      <c r="B73">
        <v>3.842188375856495</v>
      </c>
      <c r="C73">
        <v>1.6100453140141521E-5</v>
      </c>
      <c r="D73">
        <v>4.6014620340220642E-5</v>
      </c>
      <c r="E73">
        <v>0</v>
      </c>
      <c r="F73">
        <v>4.6490137719998332E-5</v>
      </c>
      <c r="G73">
        <v>9.2504758060107939E-5</v>
      </c>
      <c r="H73">
        <v>2080</v>
      </c>
      <c r="I73">
        <v>11</v>
      </c>
      <c r="J73">
        <v>4.1904382516259206E-6</v>
      </c>
    </row>
    <row r="74" spans="1:10" x14ac:dyDescent="0.25">
      <c r="A74" t="s">
        <v>64</v>
      </c>
      <c r="B74">
        <v>3.8603241959717711</v>
      </c>
      <c r="C74">
        <v>1.6154566034022599E-5</v>
      </c>
      <c r="D74">
        <v>4.6178612669242607E-5</v>
      </c>
      <c r="E74">
        <v>0</v>
      </c>
      <c r="F74">
        <v>4.6637049691530819E-5</v>
      </c>
      <c r="G74">
        <v>9.2815662361217521E-5</v>
      </c>
      <c r="H74">
        <v>2080</v>
      </c>
      <c r="I74">
        <v>12</v>
      </c>
      <c r="J74">
        <v>4.1847692613174327E-6</v>
      </c>
    </row>
    <row r="75" spans="1:10" x14ac:dyDescent="0.25">
      <c r="A75" t="s">
        <v>64</v>
      </c>
      <c r="B75">
        <v>3.85995579099108</v>
      </c>
      <c r="C75">
        <v>1.613848098944853E-5</v>
      </c>
      <c r="D75">
        <v>4.6133719754176683E-5</v>
      </c>
      <c r="E75">
        <v>0</v>
      </c>
      <c r="F75">
        <v>4.658952637889846E-5</v>
      </c>
      <c r="G75">
        <v>9.272324613315841E-5</v>
      </c>
      <c r="H75">
        <v>2080</v>
      </c>
      <c r="I75">
        <v>13</v>
      </c>
      <c r="J75">
        <v>4.1810015096843448E-6</v>
      </c>
    </row>
    <row r="76" spans="1:10" x14ac:dyDescent="0.25">
      <c r="A76" t="s">
        <v>64</v>
      </c>
      <c r="B76">
        <v>3.8712194620275109</v>
      </c>
      <c r="C76">
        <v>1.6129337700059029E-5</v>
      </c>
      <c r="D76">
        <v>4.6111893867398217E-5</v>
      </c>
      <c r="E76">
        <v>0</v>
      </c>
      <c r="F76">
        <v>4.655881972112641E-5</v>
      </c>
      <c r="G76">
        <v>9.2670713587428288E-5</v>
      </c>
      <c r="H76">
        <v>2080</v>
      </c>
      <c r="I76">
        <v>14</v>
      </c>
      <c r="J76">
        <v>4.1664746362923726E-6</v>
      </c>
    </row>
    <row r="77" spans="1:10" x14ac:dyDescent="0.25">
      <c r="A77" t="s">
        <v>64</v>
      </c>
      <c r="B77">
        <v>3.8608400828888989</v>
      </c>
      <c r="C77">
        <v>1.6128586134582509E-5</v>
      </c>
      <c r="D77">
        <v>4.6105857638756298E-5</v>
      </c>
      <c r="E77">
        <v>0</v>
      </c>
      <c r="F77">
        <v>4.6560537849765771E-5</v>
      </c>
      <c r="G77">
        <v>9.2666395487051023E-5</v>
      </c>
      <c r="H77">
        <v>2080</v>
      </c>
      <c r="I77">
        <v>15</v>
      </c>
      <c r="J77">
        <v>4.177481011467896E-6</v>
      </c>
    </row>
    <row r="78" spans="1:10" x14ac:dyDescent="0.25">
      <c r="A78" t="s">
        <v>64</v>
      </c>
      <c r="B78">
        <v>3.8454780679930991</v>
      </c>
      <c r="C78">
        <v>1.6171758382609039E-5</v>
      </c>
      <c r="D78">
        <v>4.6227046342300897E-5</v>
      </c>
      <c r="E78">
        <v>0</v>
      </c>
      <c r="F78">
        <v>4.6687394234190549E-5</v>
      </c>
      <c r="G78">
        <v>9.2914440577518409E-5</v>
      </c>
      <c r="H78">
        <v>2080</v>
      </c>
      <c r="I78">
        <v>16</v>
      </c>
      <c r="J78">
        <v>4.2053960773332012E-6</v>
      </c>
    </row>
    <row r="79" spans="1:10" x14ac:dyDescent="0.25">
      <c r="A79" t="s">
        <v>64</v>
      </c>
      <c r="B79">
        <v>3.8510039630200481</v>
      </c>
      <c r="C79">
        <v>1.6155229415129591E-5</v>
      </c>
      <c r="D79">
        <v>4.6182550092865871E-5</v>
      </c>
      <c r="E79">
        <v>0</v>
      </c>
      <c r="F79">
        <v>4.6636923708043287E-5</v>
      </c>
      <c r="G79">
        <v>9.2819473801297736E-5</v>
      </c>
      <c r="H79">
        <v>2080</v>
      </c>
      <c r="I79">
        <v>17</v>
      </c>
      <c r="J79">
        <v>4.1950695377784756E-6</v>
      </c>
    </row>
    <row r="80" spans="1:10" x14ac:dyDescent="0.25">
      <c r="A80" t="s">
        <v>64</v>
      </c>
      <c r="B80">
        <v>3.8705261370523658</v>
      </c>
      <c r="C80">
        <v>1.6110454041040612E-5</v>
      </c>
      <c r="D80">
        <v>4.6052769627380468E-5</v>
      </c>
      <c r="E80">
        <v>0</v>
      </c>
      <c r="F80">
        <v>4.6509448360126937E-5</v>
      </c>
      <c r="G80">
        <v>9.2562217989533568E-5</v>
      </c>
      <c r="H80">
        <v>2080</v>
      </c>
      <c r="I80">
        <v>18</v>
      </c>
      <c r="J80">
        <v>4.1623421391774073E-6</v>
      </c>
    </row>
    <row r="81" spans="1:10" x14ac:dyDescent="0.25">
      <c r="A81" t="s">
        <v>64</v>
      </c>
      <c r="B81">
        <v>3.8832388370065019</v>
      </c>
      <c r="C81">
        <v>1.6109481506050571E-5</v>
      </c>
      <c r="D81">
        <v>4.6049469170333923E-5</v>
      </c>
      <c r="E81">
        <v>0</v>
      </c>
      <c r="F81">
        <v>4.6507161140352249E-5</v>
      </c>
      <c r="G81">
        <v>9.255663031276784E-5</v>
      </c>
      <c r="H81">
        <v>2080</v>
      </c>
      <c r="I81">
        <v>19</v>
      </c>
      <c r="J81">
        <v>4.1484652843215261E-6</v>
      </c>
    </row>
    <row r="82" spans="1:10" x14ac:dyDescent="0.25">
      <c r="A82" t="s">
        <v>64</v>
      </c>
      <c r="B82">
        <v>3.8554957620726782</v>
      </c>
      <c r="C82">
        <v>1.6104211998699269E-5</v>
      </c>
      <c r="D82">
        <v>4.6030899869847763E-5</v>
      </c>
      <c r="E82">
        <v>0</v>
      </c>
      <c r="F82">
        <v>4.649545461624105E-5</v>
      </c>
      <c r="G82">
        <v>9.2526354487143525E-5</v>
      </c>
      <c r="H82">
        <v>2080</v>
      </c>
      <c r="I82">
        <v>20</v>
      </c>
      <c r="J82">
        <v>4.1769497342260849E-6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"/>
  <sheetViews>
    <sheetView workbookViewId="0">
      <selection activeCell="B6" sqref="B6"/>
    </sheetView>
  </sheetViews>
  <sheetFormatPr baseColWidth="10" defaultColWidth="9.140625" defaultRowHeight="15" x14ac:dyDescent="0.25"/>
  <cols>
    <col min="1" max="1" width="17" customWidth="1"/>
    <col min="2" max="2" width="21" customWidth="1"/>
  </cols>
  <sheetData>
    <row r="1" spans="1:2" ht="15.75" x14ac:dyDescent="0.25">
      <c r="A1" s="2" t="s">
        <v>67</v>
      </c>
      <c r="B1" s="3"/>
    </row>
    <row r="2" spans="1:2" x14ac:dyDescent="0.25">
      <c r="A2" s="1" t="s">
        <v>1</v>
      </c>
      <c r="B2" s="1" t="s">
        <v>2</v>
      </c>
    </row>
    <row r="3" spans="1:2" x14ac:dyDescent="0.25">
      <c r="A3" t="s">
        <v>68</v>
      </c>
      <c r="B3">
        <v>3.159962909894163E-2</v>
      </c>
    </row>
    <row r="4" spans="1:2" x14ac:dyDescent="0.25">
      <c r="A4" t="s">
        <v>69</v>
      </c>
      <c r="B4">
        <v>5.2451818792360758E-2</v>
      </c>
    </row>
    <row r="5" spans="1:2" x14ac:dyDescent="0.25">
      <c r="A5" t="s">
        <v>70</v>
      </c>
      <c r="B5">
        <v>20</v>
      </c>
    </row>
    <row r="6" spans="1:2" x14ac:dyDescent="0.25">
      <c r="A6" t="s">
        <v>71</v>
      </c>
      <c r="B6">
        <v>0.99082539682539683</v>
      </c>
    </row>
    <row r="7" spans="1:2" x14ac:dyDescent="0.25">
      <c r="A7" t="s">
        <v>72</v>
      </c>
      <c r="B7">
        <v>0.99061691060849366</v>
      </c>
    </row>
    <row r="8" spans="1:2" x14ac:dyDescent="0.25">
      <c r="A8" t="s">
        <v>73</v>
      </c>
      <c r="B8">
        <v>0.99049776439281756</v>
      </c>
    </row>
    <row r="9" spans="1:2" x14ac:dyDescent="0.25">
      <c r="A9" t="s">
        <v>74</v>
      </c>
      <c r="B9">
        <v>0.99076562468689522</v>
      </c>
    </row>
    <row r="10" spans="1:2" x14ac:dyDescent="0.25">
      <c r="A10" t="s">
        <v>75</v>
      </c>
      <c r="B10">
        <v>0.9831428571428571</v>
      </c>
    </row>
    <row r="11" spans="1:2" x14ac:dyDescent="0.25">
      <c r="A11" t="s">
        <v>76</v>
      </c>
      <c r="B11">
        <v>0.98214153341260491</v>
      </c>
    </row>
    <row r="12" spans="1:2" x14ac:dyDescent="0.25">
      <c r="A12" t="s">
        <v>77</v>
      </c>
      <c r="B12">
        <v>0.98128278324849738</v>
      </c>
    </row>
    <row r="13" spans="1:2" x14ac:dyDescent="0.25">
      <c r="A13" t="s">
        <v>78</v>
      </c>
      <c r="B13">
        <v>0.98305753674896523</v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2"/>
  <sheetViews>
    <sheetView workbookViewId="0">
      <selection sqref="A1:J1"/>
    </sheetView>
  </sheetViews>
  <sheetFormatPr baseColWidth="10" defaultColWidth="9.140625" defaultRowHeight="15" x14ac:dyDescent="0.25"/>
  <cols>
    <col min="1" max="2" width="22" customWidth="1"/>
    <col min="3" max="10" width="20" customWidth="1"/>
  </cols>
  <sheetData>
    <row r="1" spans="1:10" ht="15.75" x14ac:dyDescent="0.25">
      <c r="A1" s="2" t="s">
        <v>79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1" t="s">
        <v>68</v>
      </c>
      <c r="B2" s="1" t="s">
        <v>69</v>
      </c>
      <c r="C2" s="1" t="s">
        <v>71</v>
      </c>
      <c r="D2" s="1" t="s">
        <v>72</v>
      </c>
      <c r="E2" s="1" t="s">
        <v>73</v>
      </c>
      <c r="F2" s="1" t="s">
        <v>74</v>
      </c>
      <c r="G2" s="1" t="s">
        <v>75</v>
      </c>
      <c r="H2" s="1" t="s">
        <v>76</v>
      </c>
      <c r="I2" s="1" t="s">
        <v>77</v>
      </c>
      <c r="J2" s="1" t="s">
        <v>78</v>
      </c>
    </row>
    <row r="3" spans="1:10" x14ac:dyDescent="0.25">
      <c r="A3">
        <v>0.43610150943670101</v>
      </c>
      <c r="B3">
        <v>0.21786915835694989</v>
      </c>
      <c r="C3">
        <v>0.86796825396825394</v>
      </c>
      <c r="D3">
        <v>0.86789587391060075</v>
      </c>
      <c r="E3">
        <v>0.86980131286873918</v>
      </c>
      <c r="F3">
        <v>0.86687590334208464</v>
      </c>
      <c r="G3">
        <v>0.93071428571428572</v>
      </c>
      <c r="H3">
        <v>0.92895994531987158</v>
      </c>
      <c r="I3">
        <v>0.92998773219725628</v>
      </c>
      <c r="J3">
        <v>0.92815710173424526</v>
      </c>
    </row>
    <row r="4" spans="1:10" x14ac:dyDescent="0.25">
      <c r="A4">
        <v>0.20710391804968509</v>
      </c>
      <c r="B4">
        <v>0.13436521589282199</v>
      </c>
      <c r="C4">
        <v>0.93901587301587297</v>
      </c>
      <c r="D4">
        <v>0.93834672076763492</v>
      </c>
      <c r="E4">
        <v>0.93848114410148675</v>
      </c>
      <c r="F4">
        <v>0.93836824919797912</v>
      </c>
      <c r="G4">
        <v>0.9582857142857143</v>
      </c>
      <c r="H4">
        <v>0.95688513454449264</v>
      </c>
      <c r="I4">
        <v>0.9563029833658403</v>
      </c>
      <c r="J4">
        <v>0.95759398950256058</v>
      </c>
    </row>
    <row r="5" spans="1:10" x14ac:dyDescent="0.25">
      <c r="A5">
        <v>0.15416920854772331</v>
      </c>
      <c r="B5">
        <v>0.1155987854894943</v>
      </c>
      <c r="C5">
        <v>0.95553968253968258</v>
      </c>
      <c r="D5">
        <v>0.95573209512289248</v>
      </c>
      <c r="E5">
        <v>0.95598674569174524</v>
      </c>
      <c r="F5">
        <v>0.95559535270230633</v>
      </c>
      <c r="G5">
        <v>0.96314285714285719</v>
      </c>
      <c r="H5">
        <v>0.96083789778917128</v>
      </c>
      <c r="I5">
        <v>0.9603186274043416</v>
      </c>
      <c r="J5">
        <v>0.96149335616764164</v>
      </c>
    </row>
    <row r="6" spans="1:10" x14ac:dyDescent="0.25">
      <c r="A6">
        <v>0.12547000891014501</v>
      </c>
      <c r="B6">
        <v>9.849628809240861E-2</v>
      </c>
      <c r="C6">
        <v>0.96204761904761904</v>
      </c>
      <c r="D6">
        <v>0.9615117127390348</v>
      </c>
      <c r="E6">
        <v>0.96150920727092604</v>
      </c>
      <c r="F6">
        <v>0.96160836396143001</v>
      </c>
      <c r="G6">
        <v>0.96771428571428575</v>
      </c>
      <c r="H6">
        <v>0.96584142781894333</v>
      </c>
      <c r="I6">
        <v>0.96545897277325843</v>
      </c>
      <c r="J6">
        <v>0.9663509772766915</v>
      </c>
    </row>
    <row r="7" spans="1:10" x14ac:dyDescent="0.25">
      <c r="A7">
        <v>0.1049184648643593</v>
      </c>
      <c r="B7">
        <v>8.7128019774729767E-2</v>
      </c>
      <c r="C7">
        <v>0.96914285714285719</v>
      </c>
      <c r="D7">
        <v>0.96890404593980306</v>
      </c>
      <c r="E7">
        <v>0.96900719578055527</v>
      </c>
      <c r="F7">
        <v>0.96887979714352657</v>
      </c>
      <c r="G7">
        <v>0.97128571428571431</v>
      </c>
      <c r="H7">
        <v>0.96932058335022497</v>
      </c>
      <c r="I7">
        <v>0.96874342926914347</v>
      </c>
      <c r="J7">
        <v>0.96999953443382014</v>
      </c>
    </row>
    <row r="8" spans="1:10" x14ac:dyDescent="0.25">
      <c r="A8">
        <v>8.9796404955185927E-2</v>
      </c>
      <c r="B8">
        <v>7.6293040841704449E-2</v>
      </c>
      <c r="C8">
        <v>0.97339682539682537</v>
      </c>
      <c r="D8">
        <v>0.97337576133915493</v>
      </c>
      <c r="E8">
        <v>0.972954856423217</v>
      </c>
      <c r="F8">
        <v>0.97386761993410009</v>
      </c>
      <c r="G8">
        <v>0.97457142857142853</v>
      </c>
      <c r="H8">
        <v>0.97280707572159464</v>
      </c>
      <c r="I8">
        <v>0.97222465915037326</v>
      </c>
      <c r="J8">
        <v>0.97348071357214172</v>
      </c>
    </row>
    <row r="9" spans="1:10" x14ac:dyDescent="0.25">
      <c r="A9">
        <v>8.0615548381726687E-2</v>
      </c>
      <c r="B9">
        <v>7.04240873574771E-2</v>
      </c>
      <c r="C9">
        <v>0.97603174603174603</v>
      </c>
      <c r="D9">
        <v>0.9756190942273798</v>
      </c>
      <c r="E9">
        <v>0.97565304192735436</v>
      </c>
      <c r="F9">
        <v>0.97564954750060451</v>
      </c>
      <c r="G9">
        <v>0.97742857142857142</v>
      </c>
      <c r="H9">
        <v>0.97671298926248917</v>
      </c>
      <c r="I9">
        <v>0.97637479726622578</v>
      </c>
      <c r="J9">
        <v>0.97712480535337665</v>
      </c>
    </row>
    <row r="10" spans="1:10" x14ac:dyDescent="0.25">
      <c r="A10">
        <v>7.1501950638543102E-2</v>
      </c>
      <c r="B10">
        <v>6.8883342755298796E-2</v>
      </c>
      <c r="C10">
        <v>0.97898412698412696</v>
      </c>
      <c r="D10">
        <v>0.97898249854748309</v>
      </c>
      <c r="E10">
        <v>0.97878765548315727</v>
      </c>
      <c r="F10">
        <v>0.97923929080291616</v>
      </c>
      <c r="G10">
        <v>0.97685714285714287</v>
      </c>
      <c r="H10">
        <v>0.97542046962058848</v>
      </c>
      <c r="I10">
        <v>0.97498532705389862</v>
      </c>
      <c r="J10">
        <v>0.97593583813012319</v>
      </c>
    </row>
    <row r="11" spans="1:10" x14ac:dyDescent="0.25">
      <c r="A11">
        <v>6.5564243548443091E-2</v>
      </c>
      <c r="B11">
        <v>6.6005028965290216E-2</v>
      </c>
      <c r="C11">
        <v>0.98057142857142854</v>
      </c>
      <c r="D11">
        <v>0.98055354417792262</v>
      </c>
      <c r="E11">
        <v>0.98062806822807047</v>
      </c>
      <c r="F11">
        <v>0.9805275758042159</v>
      </c>
      <c r="G11">
        <v>0.97828571428571431</v>
      </c>
      <c r="H11">
        <v>0.97752252148696905</v>
      </c>
      <c r="I11">
        <v>0.97712568574282876</v>
      </c>
      <c r="J11">
        <v>0.97799552066980633</v>
      </c>
    </row>
    <row r="12" spans="1:10" x14ac:dyDescent="0.25">
      <c r="A12">
        <v>5.9064570643739149E-2</v>
      </c>
      <c r="B12">
        <v>6.334057022182002E-2</v>
      </c>
      <c r="C12">
        <v>0.98163492063492064</v>
      </c>
      <c r="D12">
        <v>0.98159184756542972</v>
      </c>
      <c r="E12">
        <v>0.98137810023016636</v>
      </c>
      <c r="F12">
        <v>0.98186114015873249</v>
      </c>
      <c r="G12">
        <v>0.97857142857142854</v>
      </c>
      <c r="H12">
        <v>0.97651055297514944</v>
      </c>
      <c r="I12">
        <v>0.97581191126333999</v>
      </c>
      <c r="J12">
        <v>0.97728444254158509</v>
      </c>
    </row>
    <row r="13" spans="1:10" x14ac:dyDescent="0.25">
      <c r="A13">
        <v>5.4324068667872052E-2</v>
      </c>
      <c r="B13">
        <v>5.8605130586969548E-2</v>
      </c>
      <c r="C13">
        <v>0.98384126984126985</v>
      </c>
      <c r="D13">
        <v>0.98364186256572272</v>
      </c>
      <c r="E13">
        <v>0.98345940056416492</v>
      </c>
      <c r="F13">
        <v>0.9838715595782771</v>
      </c>
      <c r="G13">
        <v>0.98085714285714287</v>
      </c>
      <c r="H13">
        <v>0.9794470231719361</v>
      </c>
      <c r="I13">
        <v>0.97875652474509633</v>
      </c>
      <c r="J13">
        <v>0.9802068585382866</v>
      </c>
    </row>
    <row r="14" spans="1:10" x14ac:dyDescent="0.25">
      <c r="A14">
        <v>4.9843587498458901E-2</v>
      </c>
      <c r="B14">
        <v>5.7296932183435678E-2</v>
      </c>
      <c r="C14">
        <v>0.98538095238095236</v>
      </c>
      <c r="D14">
        <v>0.98539249402906881</v>
      </c>
      <c r="E14">
        <v>0.9853666915698932</v>
      </c>
      <c r="F14">
        <v>0.98545577248310068</v>
      </c>
      <c r="G14">
        <v>0.98114285714285709</v>
      </c>
      <c r="H14">
        <v>0.97965253343339842</v>
      </c>
      <c r="I14">
        <v>0.97939903144474583</v>
      </c>
      <c r="J14">
        <v>0.97997944151086991</v>
      </c>
    </row>
    <row r="15" spans="1:10" x14ac:dyDescent="0.25">
      <c r="A15">
        <v>4.578252085566225E-2</v>
      </c>
      <c r="B15">
        <v>6.5719754733001262E-2</v>
      </c>
      <c r="C15">
        <v>0.98612698412698407</v>
      </c>
      <c r="D15">
        <v>0.98598341539584988</v>
      </c>
      <c r="E15">
        <v>0.98611849272973651</v>
      </c>
      <c r="F15">
        <v>0.98589104436940278</v>
      </c>
      <c r="G15">
        <v>0.97914285714285709</v>
      </c>
      <c r="H15">
        <v>0.97860269571901515</v>
      </c>
      <c r="I15">
        <v>0.97796254285397133</v>
      </c>
      <c r="J15">
        <v>0.97931950969665238</v>
      </c>
    </row>
    <row r="16" spans="1:10" x14ac:dyDescent="0.25">
      <c r="A16">
        <v>4.3614043723519971E-2</v>
      </c>
      <c r="B16">
        <v>5.4685990545532998E-2</v>
      </c>
      <c r="C16">
        <v>0.98682539682539683</v>
      </c>
      <c r="D16">
        <v>0.98672562259886842</v>
      </c>
      <c r="E16">
        <v>0.98647190402708751</v>
      </c>
      <c r="F16">
        <v>0.98702238032949619</v>
      </c>
      <c r="G16">
        <v>0.9821428571428571</v>
      </c>
      <c r="H16">
        <v>0.98157697702519275</v>
      </c>
      <c r="I16">
        <v>0.98098745445031177</v>
      </c>
      <c r="J16">
        <v>0.98222742337028024</v>
      </c>
    </row>
    <row r="17" spans="1:10" x14ac:dyDescent="0.25">
      <c r="A17">
        <v>3.9623308237612093E-2</v>
      </c>
      <c r="B17">
        <v>5.5807797658927967E-2</v>
      </c>
      <c r="C17">
        <v>0.98857142857142855</v>
      </c>
      <c r="D17">
        <v>0.98850212074252219</v>
      </c>
      <c r="E17">
        <v>0.98852425706142699</v>
      </c>
      <c r="F17">
        <v>0.98851623109953823</v>
      </c>
      <c r="G17">
        <v>0.98299999999999998</v>
      </c>
      <c r="H17">
        <v>0.9826313984127113</v>
      </c>
      <c r="I17">
        <v>0.98230957360100213</v>
      </c>
      <c r="J17">
        <v>0.98300750170464446</v>
      </c>
    </row>
    <row r="18" spans="1:10" x14ac:dyDescent="0.25">
      <c r="A18">
        <v>3.8619463880496613E-2</v>
      </c>
      <c r="B18">
        <v>5.2573577920546753E-2</v>
      </c>
      <c r="C18">
        <v>0.98885714285714288</v>
      </c>
      <c r="D18">
        <v>0.98879994897459966</v>
      </c>
      <c r="E18">
        <v>0.98876652209014704</v>
      </c>
      <c r="F18">
        <v>0.98886677256116573</v>
      </c>
      <c r="G18">
        <v>0.98257142857142854</v>
      </c>
      <c r="H18">
        <v>0.98207778839253346</v>
      </c>
      <c r="I18">
        <v>0.98155961879390452</v>
      </c>
      <c r="J18">
        <v>0.98264795521938364</v>
      </c>
    </row>
    <row r="19" spans="1:10" x14ac:dyDescent="0.25">
      <c r="A19">
        <v>3.6612058816460041E-2</v>
      </c>
      <c r="B19">
        <v>5.6880001758071598E-2</v>
      </c>
      <c r="C19">
        <v>0.98965079365079367</v>
      </c>
      <c r="D19">
        <v>0.9895774393677127</v>
      </c>
      <c r="E19">
        <v>0.98955236303897465</v>
      </c>
      <c r="F19">
        <v>0.98963529949180784</v>
      </c>
      <c r="G19">
        <v>0.98185714285714287</v>
      </c>
      <c r="H19">
        <v>0.98071705021475752</v>
      </c>
      <c r="I19">
        <v>0.98064997351854488</v>
      </c>
      <c r="J19">
        <v>0.9808527294927295</v>
      </c>
    </row>
    <row r="20" spans="1:10" x14ac:dyDescent="0.25">
      <c r="A20">
        <v>3.4345899843791598E-2</v>
      </c>
      <c r="B20">
        <v>5.8543747726793501E-2</v>
      </c>
      <c r="C20">
        <v>0.99042857142857144</v>
      </c>
      <c r="D20">
        <v>0.99062661202896019</v>
      </c>
      <c r="E20">
        <v>0.99062398539731988</v>
      </c>
      <c r="F20">
        <v>0.99065847747162528</v>
      </c>
      <c r="G20">
        <v>0.9831428571428571</v>
      </c>
      <c r="H20">
        <v>0.98286365907995465</v>
      </c>
      <c r="I20">
        <v>0.98280708751565937</v>
      </c>
      <c r="J20">
        <v>0.98297488162631008</v>
      </c>
    </row>
    <row r="21" spans="1:10" x14ac:dyDescent="0.25">
      <c r="A21">
        <v>3.2004168809210677E-2</v>
      </c>
      <c r="B21">
        <v>5.7612394293107133E-2</v>
      </c>
      <c r="C21">
        <v>0.9906666666666667</v>
      </c>
      <c r="D21">
        <v>0.99072837264536573</v>
      </c>
      <c r="E21">
        <v>0.99065241768226009</v>
      </c>
      <c r="F21">
        <v>0.99082532146278279</v>
      </c>
      <c r="G21">
        <v>0.98228571428571432</v>
      </c>
      <c r="H21">
        <v>0.98056260625353397</v>
      </c>
      <c r="I21">
        <v>0.98006521985950579</v>
      </c>
      <c r="J21">
        <v>0.98113971361971364</v>
      </c>
    </row>
    <row r="22" spans="1:10" x14ac:dyDescent="0.25">
      <c r="A22">
        <v>3.159962909894163E-2</v>
      </c>
      <c r="B22">
        <v>5.2451818792360758E-2</v>
      </c>
      <c r="C22">
        <v>0.99082539682539683</v>
      </c>
      <c r="D22">
        <v>0.99061691060849366</v>
      </c>
      <c r="E22">
        <v>0.99049776439281756</v>
      </c>
      <c r="F22">
        <v>0.99076562468689522</v>
      </c>
      <c r="G22">
        <v>0.9831428571428571</v>
      </c>
      <c r="H22">
        <v>0.98214153341260491</v>
      </c>
      <c r="I22">
        <v>0.98128278324849738</v>
      </c>
      <c r="J22">
        <v>0.98305753674896523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DESCRIPTION</vt:lpstr>
      <vt:lpstr>TOTAL REPORT</vt:lpstr>
      <vt:lpstr>CODECARBON INFO</vt:lpstr>
      <vt:lpstr>UNITS DESCRIPTION</vt:lpstr>
      <vt:lpstr>PER LAYER REPORT DETAIL</vt:lpstr>
      <vt:lpstr>PER LAYER REPORT TOTAL</vt:lpstr>
      <vt:lpstr>PER EPOCH REPORT TOTAL</vt:lpstr>
      <vt:lpstr>TRAINING RESULTS</vt:lpstr>
      <vt:lpstr>training_data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Elena Ballesteros Morallón</cp:lastModifiedBy>
  <dcterms:created xsi:type="dcterms:W3CDTF">2025-10-09T11:33:23Z</dcterms:created>
  <dcterms:modified xsi:type="dcterms:W3CDTF">2025-10-13T10:25:12Z</dcterms:modified>
</cp:coreProperties>
</file>